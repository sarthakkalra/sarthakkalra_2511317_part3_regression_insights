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riginal Dataset" sheetId="1" state="visible" r:id="rId3"/>
    <sheet name="2. Cleaned Data" sheetId="2" state="visible" r:id="rId4"/>
    <sheet name="3. Dummy Variables" sheetId="3" state="visible" r:id="rId5"/>
    <sheet name="4. Simple Regression 1" sheetId="4" state="visible" r:id="rId6"/>
    <sheet name="5. Simple Regression 2" sheetId="5" state="visible" r:id="rId7"/>
    <sheet name="6. Multiple Regression" sheetId="6" state="visible" r:id="rId8"/>
    <sheet name="7. Predictions" sheetId="7" state="visible" r:id="rId9"/>
    <sheet name="8. Model 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<sst xmlns="http://schemas.openxmlformats.org/spreadsheetml/2006/main" count="4122" uniqueCount="223">
  <si>
    <t xml:space="preserve">ORIGINAL DATASET  (preserved, unmodified — store_performance)</t>
  </si>
  <si>
    <t xml:space="preserve">320 rows  •  80 stores  •  4 months (Jan–Apr 2025)  •  Source: business_regression_data.xlsx</t>
  </si>
  <si>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</si>
  <si>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</si>
  <si>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</si>
  <si>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</si>
  <si>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</si>
  <si>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</si>
  <si>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</si>
  <si>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</si>
  <si>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</si>
  <si>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</si>
  <si>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</si>
  <si>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</si>
  <si>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</si>
  <si>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</si>
  <si>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</si>
  <si>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2025-01</t>
  </si>
  <si>
    <t xml:space="preserve">East</t>
  </si>
  <si>
    <t xml:space="preserve">Residential</t>
  </si>
  <si>
    <t xml:space="preserve">2025-02</t>
  </si>
  <si>
    <t xml:space="preserve">2025-03</t>
  </si>
  <si>
    <t xml:space="preserve">2025-04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</si>
  <si>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</si>
  <si>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</si>
  <si>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</si>
  <si>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</si>
  <si>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</si>
  <si>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</si>
  <si>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</si>
  <si>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</si>
  <si>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</si>
  <si>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</si>
  <si>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</si>
  <si>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</si>
  <si>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</si>
  <si>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</si>
  <si>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</si>
  <si>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</si>
  <si>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</si>
  <si>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</si>
  <si>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</si>
  <si>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</si>
  <si>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</si>
  <si>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</si>
  <si>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</si>
  <si>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</si>
  <si>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</si>
  <si>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</si>
  <si>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</si>
  <si>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</si>
  <si>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</si>
  <si>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</si>
  <si>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</si>
  <si>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</si>
  <si>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</si>
  <si>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</si>
  <si>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</si>
  <si>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</si>
  <si>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</si>
  <si>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</si>
  <si>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</si>
  <si>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</si>
  <si>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</si>
  <si>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</si>
  <si>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</si>
  <si>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</si>
  <si>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</si>
  <si>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</si>
  <si>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</si>
  <si>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</si>
  <si>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</si>
  <si>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</si>
  <si>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</si>
  <si>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</si>
  <si>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</si>
  <si>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</si>
  <si>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</si>
  <si>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</si>
  <si>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</si>
  <si>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</si>
  <si>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</si>
  <si>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</si>
  <si>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</si>
  <si>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</si>
  <si>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</si>
  <si>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</si>
  <si>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</si>
  <si>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</si>
  <si>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</si>
  <si>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</si>
  <si>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</si>
  <si>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</si>
  <si>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</si>
  <si>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</si>
  <si>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</si>
  <si>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</si>
  <si>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</si>
  <si>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</si>
  <si>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</si>
  <si>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</si>
  <si>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</si>
  <si>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</si>
  <si>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</si>
  <si>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</si>
  <si>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</si>
  <si>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</si>
  <si>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</si>
  <si>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CLEANED DATA &amp; QUALITY CHECKS</t>
  </si>
  <si>
    <t xml:space="preserve">DATA-QUALITY CHECKLIST</t>
  </si>
  <si>
    <t xml:space="preserve">Check</t>
  </si>
  <si>
    <t xml:space="preserve">Result</t>
  </si>
  <si>
    <t xml:space="preserve">Action taken</t>
  </si>
  <si>
    <t xml:space="preserve">Missing values</t>
  </si>
  <si>
    <t xml:space="preserve">competitor_distance_km: 6 missing  |  customer_rating: 8 missing</t>
  </si>
  <si>
    <t xml:space="preserve">Imputed with group medians (region / store_type). 0 missing after.</t>
  </si>
  <si>
    <t xml:space="preserve">Duplicate rows</t>
  </si>
  <si>
    <t xml:space="preserve">0 duplicates found</t>
  </si>
  <si>
    <t xml:space="preserve">None to remove.</t>
  </si>
  <si>
    <t xml:space="preserve">Data types</t>
  </si>
  <si>
    <t xml:space="preserve">All columns typed correctly (numeric/categorical/date)</t>
  </si>
  <si>
    <t xml:space="preserve">month parsed as date; ids/region/store_type as text.</t>
  </si>
  <si>
    <t xml:space="preserve">Outliers (IQR)</t>
  </si>
  <si>
    <t xml:space="preserve">marketing_spend: 6 | competitor_distance_km: 15 | inventory_avail: 7 | staff_count: 1 | profit: 1</t>
  </si>
  <si>
    <t xml:space="preserve">Flagged &amp; retained (plausible real values; not deleted).</t>
  </si>
  <si>
    <t xml:space="preserve">OUTLIER SUMMARY (1.5×IQR rule)</t>
  </si>
  <si>
    <t xml:space="preserve">Variable</t>
  </si>
  <si>
    <t xml:space="preserve">Min</t>
  </si>
  <si>
    <t xml:space="preserve">Max</t>
  </si>
  <si>
    <t xml:space="preserve">Lower fence</t>
  </si>
  <si>
    <t xml:space="preserve">Upper fence</t>
  </si>
  <si>
    <t xml:space="preserve"># Outliers</t>
  </si>
  <si>
    <t xml:space="preserve">971</t>
  </si>
  <si>
    <t xml:space="preserve">12870</t>
  </si>
  <si>
    <t xml:space="preserve">5</t>
  </si>
  <si>
    <t xml:space="preserve">31</t>
  </si>
  <si>
    <t xml:space="preserve">CLEANED DATASET (imputed; used for modelling)</t>
  </si>
  <si>
    <t xml:space="preserve">DUMMY VARIABLES — Store Type (reference = High Street)</t>
  </si>
  <si>
    <t xml:space="preserve">• Categorical chosen: store_type  (4 levels: High Street, Residential, Mall, Airport).</t>
  </si>
  <si>
    <t xml:space="preserve">• Reference category = HIGH STREET — it is the most frequent level (116 of 320 rows = 36%), giving the most stable baseline.</t>
  </si>
  <si>
    <t xml:space="preserve">• Three dummies created (Airport, Mall, Residential). High Street is OMITTED to avoid the dummy-variable trap (perfect collinearity with the intercept).</t>
  </si>
  <si>
    <t xml:space="preserve">• Each dummy coefficient is read as the sales difference vs an otherwise-identical High Street store.</t>
  </si>
  <si>
    <t xml:space="preserve">Store Type</t>
  </si>
  <si>
    <t xml:space="preserve">Count</t>
  </si>
  <si>
    <t xml:space="preserve">Role in model</t>
  </si>
  <si>
    <t xml:space="preserve">Reference (omitted)</t>
  </si>
  <si>
    <t xml:space="preserve">Dummy</t>
  </si>
  <si>
    <t xml:space="preserve">ENCODED PREVIEW (1 = belongs to that store type, 0 = otherwise)</t>
  </si>
  <si>
    <t xml:space="preserve">st_Airport</t>
  </si>
  <si>
    <t xml:space="preserve">st_Mall</t>
  </si>
  <si>
    <t xml:space="preserve">st_Residential</t>
  </si>
  <si>
    <t xml:space="preserve">SIMPLE REGRESSION 1 — Sales vs Footfall</t>
  </si>
  <si>
    <t xml:space="preserve">MODEL FIT</t>
  </si>
  <si>
    <t xml:space="preserve">Observations</t>
  </si>
  <si>
    <t xml:space="preserve">R²</t>
  </si>
  <si>
    <t xml:space="preserve">Adjusted R²</t>
  </si>
  <si>
    <t xml:space="preserve">F-statistic</t>
  </si>
  <si>
    <t xml:space="preserve">Prob (F-statistic)</t>
  </si>
  <si>
    <t xml:space="preserve">4.75e-94</t>
  </si>
  <si>
    <t xml:space="preserve">Residual Std Error (RMSE)</t>
  </si>
  <si>
    <t xml:space="preserve">AIC</t>
  </si>
  <si>
    <t xml:space="preserve">COEFFICIENTS</t>
  </si>
  <si>
    <t xml:space="preserve">Term</t>
  </si>
  <si>
    <t xml:space="preserve">Coefficient</t>
  </si>
  <si>
    <t xml:space="preserve">Std Error</t>
  </si>
  <si>
    <t xml:space="preserve">t-stat</t>
  </si>
  <si>
    <t xml:space="preserve">P-value</t>
  </si>
  <si>
    <t xml:space="preserve">95% CI Low</t>
  </si>
  <si>
    <t xml:space="preserve">95% CI High</t>
  </si>
  <si>
    <t xml:space="preserve">const</t>
  </si>
  <si>
    <t xml:space="preserve">Green P-value = significant (p&lt;0.05)   Amber = not significant</t>
  </si>
  <si>
    <t xml:space="preserve">BUSINESS INTERPRETATION</t>
  </si>
  <si>
    <t xml:space="preserve">Equation:  Monthly Sales = 446,411 + 35.68 × Footfall</t>
  </si>
  <si>
    <t xml:space="preserve">Each extra customer visit (footfall) is associated with about ₹35.7 more in monthly sales.</t>
  </si>
  <si>
    <t xml:space="preserve">Footfall alone explains 73.6% of the variation in sales (R²=0.7363). Strongly significant (p&lt;0.001, F=888).</t>
  </si>
  <si>
    <t xml:space="preserve">Verdict: statistically significant AND practically useful — footfall is the single best one-variable predictor.</t>
  </si>
  <si>
    <t xml:space="preserve">SIMPLE REGRESSION 2 — Sales vs Marketing Spend</t>
  </si>
  <si>
    <t xml:space="preserve">2.48e-14</t>
  </si>
  <si>
    <t xml:space="preserve">Equation:  Monthly Sales = 560,777 + 2.13 × Marketing Spend</t>
  </si>
  <si>
    <t xml:space="preserve">Each ₹1 of marketing spend is associated with about ₹2.13 of additional sales.</t>
  </si>
  <si>
    <t xml:space="preserve">Marketing spend alone explains only 16.7% of sales variation (R²=0.1672). Significant (p&lt;0.001) but weak.</t>
  </si>
  <si>
    <t xml:space="preserve">Verdict: statistically significant but of limited standalone predictive value — useful only as part of a larger model.</t>
  </si>
  <si>
    <t xml:space="preserve">MULTIPLE REGRESSION — Sales vs 4 numeric drivers + Store Type</t>
  </si>
  <si>
    <t xml:space="preserve">1.14e-112</t>
  </si>
  <si>
    <t xml:space="preserve">Intercept</t>
  </si>
  <si>
    <t xml:space="preserve">Footfall</t>
  </si>
  <si>
    <t xml:space="preserve">Marketing Spend</t>
  </si>
  <si>
    <t xml:space="preserve">Avg Discount %</t>
  </si>
  <si>
    <t xml:space="preserve">Inventory Availability %</t>
  </si>
  <si>
    <t xml:space="preserve">Store Type = Airport</t>
  </si>
  <si>
    <t xml:space="preserve">Store Type = Mall</t>
  </si>
  <si>
    <t xml:space="preserve">Store Type = Residential</t>
  </si>
  <si>
    <t xml:space="preserve">Adjusted R² = 0.8174 — the model explains ~82% of sales variation. F=205, p&lt;0.001 (jointly highly significant).</t>
  </si>
  <si>
    <t xml:space="preserve">Footfall, Marketing Spend and Inventory Availability are all highly significant (p&lt;0.001) and positive — the core controllable drivers.</t>
  </si>
  <si>
    <t xml:space="preserve">Avg Discount % is NOT significant (p=0.11) — deeper discounting shows no reliable sales lift here; do not over-interpret.</t>
  </si>
  <si>
    <t xml:space="preserve">vs an identical High Street store: Airport +₹21,906 (sig), Residential −₹16,576 (sig), Mall +₹11,433 (borderline, p=0.08).</t>
  </si>
  <si>
    <t xml:space="preserve">All VIFs ≈ 1 — no multicollinearity, so each coefficient can be read independently.</t>
  </si>
  <si>
    <t xml:space="preserve">PREDICTIONS &amp; RESIDUALS  (predicted sales computed live from model coefficients)</t>
  </si>
  <si>
    <t xml:space="preserve">Predicted = Intercept + Σ(coef × value).  Residual = Actual − Predicted.  Cells recalc if coefficients change.</t>
  </si>
  <si>
    <t xml:space="preserve">actual_sales</t>
  </si>
  <si>
    <t xml:space="preserve">predicted_sales</t>
  </si>
  <si>
    <t xml:space="preserve">residual</t>
  </si>
  <si>
    <t xml:space="preserve">abs_residual</t>
  </si>
  <si>
    <t xml:space="preserve">residual_%</t>
  </si>
  <si>
    <t xml:space="preserve">MODEL ERROR SUMMARY</t>
  </si>
  <si>
    <t xml:space="preserve">Mean Absolute Error (MAE)</t>
  </si>
  <si>
    <t xml:space="preserve">Mean Actual Sales</t>
  </si>
  <si>
    <t xml:space="preserve">MAPE (mean abs % error)</t>
  </si>
  <si>
    <t xml:space="preserve">MODEL COMPARISON</t>
  </si>
  <si>
    <t xml:space="preserve">Model</t>
  </si>
  <si>
    <t xml:space="preserve">Dependent</t>
  </si>
  <si>
    <t xml:space="preserve">Independent variables</t>
  </si>
  <si>
    <t xml:space="preserve">Significant variables</t>
  </si>
  <si>
    <t xml:space="preserve">Notes</t>
  </si>
  <si>
    <t xml:space="preserve">Simple Reg 1</t>
  </si>
  <si>
    <t xml:space="preserve">Best single driver; misses other factors.</t>
  </si>
  <si>
    <t xml:space="preserve">Simple Reg 2</t>
  </si>
  <si>
    <t xml:space="preserve">Weak alone; marketing matters but not in isolation.</t>
  </si>
  <si>
    <t xml:space="preserve">Multiple Reg</t>
  </si>
  <si>
    <t xml:space="preserve">footfall + marketing + discount + inventory + store_type</t>
  </si>
  <si>
    <t xml:space="preserve">footfall, marketing_spend, inventory_avail, Airport, Residential</t>
  </si>
  <si>
    <t xml:space="preserve">Best fit &amp; most balanced; recommended model.</t>
  </si>
  <si>
    <t xml:space="preserve">RECOMMENDED MODEL: Multiple Regression — highest Adjusted R² (0.8174), all key drivers significant, no multicollinearity, MAPE ≈ 5.12%.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</si>
</sst>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#,##0.0000"/>
    <numFmt numFmtId="168" formatCode="0.0000"/>
    <numFmt numFmtId="169" formatCode="0.0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4" min="13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5" t="n">
        <v>70389.11</v>
      </c>
      <c r="F5" s="4" t="n">
        <v>8302</v>
      </c>
      <c r="G5" s="4" t="n">
        <v>0.042</v>
      </c>
      <c r="H5" s="4" t="n">
        <v>17</v>
      </c>
      <c r="I5" s="4" t="n">
        <v>75</v>
      </c>
      <c r="J5" s="6" t="n">
        <v>5.28</v>
      </c>
      <c r="K5" s="4" t="n">
        <v>1</v>
      </c>
      <c r="L5" s="6" t="n">
        <v>3.1</v>
      </c>
      <c r="M5" s="5" t="n">
        <v>658832.62</v>
      </c>
      <c r="N5" s="5" t="n">
        <v>84349.93</v>
      </c>
    </row>
    <row r="6" customFormat="false" ht="15" hidden="false" customHeight="false" outlineLevel="0" collapsed="false">
      <c r="A6" s="7" t="s">
        <v>16</v>
      </c>
      <c r="B6" s="7" t="s">
        <v>20</v>
      </c>
      <c r="C6" s="7" t="s">
        <v>18</v>
      </c>
      <c r="D6" s="7" t="s">
        <v>19</v>
      </c>
      <c r="E6" s="8" t="n">
        <v>43827.89</v>
      </c>
      <c r="F6" s="7" t="n">
        <v>8487</v>
      </c>
      <c r="G6" s="7" t="n">
        <v>0.168</v>
      </c>
      <c r="H6" s="7" t="n">
        <v>23</v>
      </c>
      <c r="I6" s="7" t="n">
        <v>84.4</v>
      </c>
      <c r="J6" s="9" t="n">
        <v>4.31</v>
      </c>
      <c r="K6" s="7" t="n">
        <v>0</v>
      </c>
      <c r="L6" s="9" t="n">
        <v>2.8</v>
      </c>
      <c r="M6" s="8" t="n">
        <v>634436</v>
      </c>
      <c r="N6" s="8" t="n">
        <v>106130.54</v>
      </c>
    </row>
    <row r="7" customFormat="false" ht="15" hidden="false" customHeight="false" outlineLevel="0" collapsed="false">
      <c r="A7" s="4" t="s">
        <v>16</v>
      </c>
      <c r="B7" s="4" t="s">
        <v>21</v>
      </c>
      <c r="C7" s="4" t="s">
        <v>18</v>
      </c>
      <c r="D7" s="4" t="s">
        <v>19</v>
      </c>
      <c r="E7" s="5" t="n">
        <v>59921.75</v>
      </c>
      <c r="F7" s="4" t="n">
        <v>9113</v>
      </c>
      <c r="G7" s="4" t="n">
        <v>0.133</v>
      </c>
      <c r="H7" s="4" t="n">
        <v>20</v>
      </c>
      <c r="I7" s="4" t="n">
        <v>88</v>
      </c>
      <c r="J7" s="6" t="n">
        <v>12</v>
      </c>
      <c r="K7" s="4" t="n">
        <v>0</v>
      </c>
      <c r="L7" s="6" t="n">
        <v>3.2</v>
      </c>
      <c r="M7" s="5" t="n">
        <v>678722.06</v>
      </c>
      <c r="N7" s="5" t="n">
        <v>101883.86</v>
      </c>
    </row>
    <row r="8" customFormat="false" ht="15" hidden="false" customHeight="false" outlineLevel="0" collapsed="false">
      <c r="A8" s="7" t="s">
        <v>16</v>
      </c>
      <c r="B8" s="7" t="s">
        <v>22</v>
      </c>
      <c r="C8" s="7" t="s">
        <v>18</v>
      </c>
      <c r="D8" s="7" t="s">
        <v>19</v>
      </c>
      <c r="E8" s="8" t="n">
        <v>56856.63</v>
      </c>
      <c r="F8" s="7" t="n">
        <v>9431</v>
      </c>
      <c r="G8" s="7" t="n">
        <v>0.142</v>
      </c>
      <c r="H8" s="7" t="n">
        <v>23</v>
      </c>
      <c r="I8" s="7" t="n">
        <v>86.9</v>
      </c>
      <c r="J8" s="9" t="n">
        <v>4.97</v>
      </c>
      <c r="K8" s="7" t="n">
        <v>0</v>
      </c>
      <c r="L8" s="9" t="n">
        <v>3.4</v>
      </c>
      <c r="M8" s="8" t="n">
        <v>658920.3</v>
      </c>
      <c r="N8" s="8" t="n">
        <v>97910.37</v>
      </c>
    </row>
    <row r="9" customFormat="false" ht="15" hidden="false" customHeight="false" outlineLevel="0" collapsed="false">
      <c r="A9" s="4" t="s">
        <v>23</v>
      </c>
      <c r="B9" s="4" t="s">
        <v>17</v>
      </c>
      <c r="C9" s="4" t="s">
        <v>18</v>
      </c>
      <c r="D9" s="4" t="s">
        <v>24</v>
      </c>
      <c r="E9" s="5" t="n">
        <v>48412.64</v>
      </c>
      <c r="F9" s="4" t="n">
        <v>9545</v>
      </c>
      <c r="G9" s="4" t="n">
        <v>0.231</v>
      </c>
      <c r="H9" s="4" t="n">
        <v>21</v>
      </c>
      <c r="I9" s="4" t="n">
        <v>97.6</v>
      </c>
      <c r="J9" s="6" t="n">
        <v>6.94</v>
      </c>
      <c r="K9" s="4" t="n">
        <v>1</v>
      </c>
      <c r="L9" s="6" t="n">
        <v>4.2</v>
      </c>
      <c r="M9" s="5" t="n">
        <v>741341.44</v>
      </c>
      <c r="N9" s="5" t="n">
        <v>119208.17</v>
      </c>
    </row>
    <row r="10" customFormat="false" ht="15" hidden="false" customHeight="false" outlineLevel="0" collapsed="false">
      <c r="A10" s="7" t="s">
        <v>23</v>
      </c>
      <c r="B10" s="7" t="s">
        <v>20</v>
      </c>
      <c r="C10" s="7" t="s">
        <v>18</v>
      </c>
      <c r="D10" s="7" t="s">
        <v>24</v>
      </c>
      <c r="E10" s="8" t="n">
        <v>64811.21</v>
      </c>
      <c r="F10" s="7" t="n">
        <v>9792</v>
      </c>
      <c r="G10" s="7" t="n">
        <v>0.112</v>
      </c>
      <c r="H10" s="7" t="n">
        <v>20</v>
      </c>
      <c r="I10" s="7" t="n">
        <v>84.2</v>
      </c>
      <c r="J10" s="9" t="n">
        <v>2.88</v>
      </c>
      <c r="K10" s="7" t="n">
        <v>0</v>
      </c>
      <c r="L10" s="9" t="n">
        <v>4.2</v>
      </c>
      <c r="M10" s="8" t="n">
        <v>761835.34</v>
      </c>
      <c r="N10" s="8" t="n">
        <v>149602.23</v>
      </c>
    </row>
    <row r="11" customFormat="false" ht="15" hidden="false" customHeight="false" outlineLevel="0" collapsed="false">
      <c r="A11" s="4" t="s">
        <v>23</v>
      </c>
      <c r="B11" s="4" t="s">
        <v>21</v>
      </c>
      <c r="C11" s="4" t="s">
        <v>18</v>
      </c>
      <c r="D11" s="4" t="s">
        <v>24</v>
      </c>
      <c r="E11" s="5" t="n">
        <v>46213.45</v>
      </c>
      <c r="F11" s="4" t="n">
        <v>10616</v>
      </c>
      <c r="G11" s="4" t="n">
        <v>0.122</v>
      </c>
      <c r="H11" s="4" t="n">
        <v>22</v>
      </c>
      <c r="I11" s="4" t="n">
        <v>85.2</v>
      </c>
      <c r="J11" s="6" t="n">
        <v>0.2</v>
      </c>
      <c r="K11" s="4" t="n">
        <v>1</v>
      </c>
      <c r="L11" s="6" t="n">
        <v>4.1</v>
      </c>
      <c r="M11" s="5" t="n">
        <v>806615.54</v>
      </c>
      <c r="N11" s="5" t="n">
        <v>131364.62</v>
      </c>
    </row>
    <row r="12" customFormat="false" ht="15" hidden="false" customHeight="false" outlineLevel="0" collapsed="false">
      <c r="A12" s="7" t="s">
        <v>23</v>
      </c>
      <c r="B12" s="7" t="s">
        <v>22</v>
      </c>
      <c r="C12" s="7" t="s">
        <v>18</v>
      </c>
      <c r="D12" s="7" t="s">
        <v>24</v>
      </c>
      <c r="E12" s="8" t="n">
        <v>68148.52</v>
      </c>
      <c r="F12" s="7" t="n">
        <v>8567</v>
      </c>
      <c r="G12" s="7" t="n">
        <v>0.127</v>
      </c>
      <c r="H12" s="7" t="n">
        <v>23</v>
      </c>
      <c r="I12" s="7" t="n">
        <v>95.6</v>
      </c>
      <c r="J12" s="9" t="n">
        <v>0.8</v>
      </c>
      <c r="K12" s="7" t="n">
        <v>0</v>
      </c>
      <c r="L12" s="9" t="n">
        <v>3.9</v>
      </c>
      <c r="M12" s="8" t="n">
        <v>850164.26</v>
      </c>
      <c r="N12" s="8" t="n">
        <v>149262.75</v>
      </c>
    </row>
    <row r="13" customFormat="false" ht="15" hidden="false" customHeight="false" outlineLevel="0" collapsed="false">
      <c r="A13" s="4" t="s">
        <v>25</v>
      </c>
      <c r="B13" s="4" t="s">
        <v>17</v>
      </c>
      <c r="C13" s="4" t="s">
        <v>26</v>
      </c>
      <c r="D13" s="4" t="s">
        <v>27</v>
      </c>
      <c r="E13" s="5" t="n">
        <v>71838.86</v>
      </c>
      <c r="F13" s="4" t="n">
        <v>10979</v>
      </c>
      <c r="G13" s="4" t="n">
        <v>0.215</v>
      </c>
      <c r="H13" s="4" t="n">
        <v>26</v>
      </c>
      <c r="I13" s="4" t="n">
        <v>88.6</v>
      </c>
      <c r="J13" s="6" t="n">
        <v>7.7</v>
      </c>
      <c r="K13" s="4" t="n">
        <v>1</v>
      </c>
      <c r="L13" s="6" t="n">
        <v>3.8</v>
      </c>
      <c r="M13" s="5" t="n">
        <v>930581.7</v>
      </c>
      <c r="N13" s="5" t="n">
        <v>136207.98</v>
      </c>
    </row>
    <row r="14" customFormat="false" ht="15" hidden="false" customHeight="false" outlineLevel="0" collapsed="false">
      <c r="A14" s="7" t="s">
        <v>25</v>
      </c>
      <c r="B14" s="7" t="s">
        <v>20</v>
      </c>
      <c r="C14" s="7" t="s">
        <v>26</v>
      </c>
      <c r="D14" s="7" t="s">
        <v>27</v>
      </c>
      <c r="E14" s="8" t="n">
        <v>68133.44</v>
      </c>
      <c r="F14" s="7" t="n">
        <v>9459</v>
      </c>
      <c r="G14" s="7" t="n">
        <v>0.22</v>
      </c>
      <c r="H14" s="7" t="n">
        <v>21</v>
      </c>
      <c r="I14" s="7" t="n">
        <v>85</v>
      </c>
      <c r="J14" s="9" t="n">
        <v>1.91</v>
      </c>
      <c r="K14" s="7" t="n">
        <v>0</v>
      </c>
      <c r="L14" s="9" t="n">
        <v>4.2</v>
      </c>
      <c r="M14" s="8" t="n">
        <v>779010.94</v>
      </c>
      <c r="N14" s="8" t="n">
        <v>106328.09</v>
      </c>
    </row>
    <row r="15" customFormat="false" ht="15" hidden="false" customHeight="false" outlineLevel="0" collapsed="false">
      <c r="A15" s="4" t="s">
        <v>25</v>
      </c>
      <c r="B15" s="4" t="s">
        <v>21</v>
      </c>
      <c r="C15" s="4" t="s">
        <v>26</v>
      </c>
      <c r="D15" s="4" t="s">
        <v>27</v>
      </c>
      <c r="E15" s="5" t="n">
        <v>34285.21</v>
      </c>
      <c r="F15" s="4" t="n">
        <v>9172</v>
      </c>
      <c r="G15" s="4" t="n">
        <v>0.213</v>
      </c>
      <c r="H15" s="4" t="n">
        <v>22</v>
      </c>
      <c r="I15" s="4" t="n">
        <v>88.3</v>
      </c>
      <c r="J15" s="6" t="n">
        <v>10.46</v>
      </c>
      <c r="K15" s="4" t="n">
        <v>1</v>
      </c>
      <c r="L15" s="6" t="n">
        <v>3.8</v>
      </c>
      <c r="M15" s="5" t="n">
        <v>723060.76</v>
      </c>
      <c r="N15" s="5" t="n">
        <v>123131.24</v>
      </c>
    </row>
    <row r="16" customFormat="false" ht="15" hidden="false" customHeight="false" outlineLevel="0" collapsed="false">
      <c r="A16" s="7" t="s">
        <v>25</v>
      </c>
      <c r="B16" s="7" t="s">
        <v>22</v>
      </c>
      <c r="C16" s="7" t="s">
        <v>26</v>
      </c>
      <c r="D16" s="7" t="s">
        <v>27</v>
      </c>
      <c r="E16" s="8" t="n">
        <v>67979.88</v>
      </c>
      <c r="F16" s="7" t="n">
        <v>11230</v>
      </c>
      <c r="G16" s="7" t="n">
        <v>0.002</v>
      </c>
      <c r="H16" s="7" t="n">
        <v>28</v>
      </c>
      <c r="I16" s="7" t="n">
        <v>85.3</v>
      </c>
      <c r="J16" s="9" t="n">
        <v>7.16</v>
      </c>
      <c r="K16" s="7" t="n">
        <v>0</v>
      </c>
      <c r="L16" s="9" t="n">
        <v>3.8</v>
      </c>
      <c r="M16" s="8" t="n">
        <v>910791.94</v>
      </c>
      <c r="N16" s="8" t="n">
        <v>158891.28</v>
      </c>
    </row>
    <row r="17" customFormat="false" ht="15" hidden="false" customHeight="false" outlineLevel="0" collapsed="false">
      <c r="A17" s="4" t="s">
        <v>28</v>
      </c>
      <c r="B17" s="4" t="s">
        <v>17</v>
      </c>
      <c r="C17" s="4" t="s">
        <v>18</v>
      </c>
      <c r="D17" s="4" t="s">
        <v>19</v>
      </c>
      <c r="E17" s="5" t="n">
        <v>71828.26</v>
      </c>
      <c r="F17" s="4" t="n">
        <v>12775</v>
      </c>
      <c r="G17" s="4" t="n">
        <v>0.116</v>
      </c>
      <c r="H17" s="4" t="n">
        <v>30</v>
      </c>
      <c r="I17" s="4" t="n">
        <v>81.7</v>
      </c>
      <c r="J17" s="6" t="n">
        <v>4.24</v>
      </c>
      <c r="K17" s="4" t="n">
        <v>1</v>
      </c>
      <c r="L17" s="6" t="n">
        <v>4.2</v>
      </c>
      <c r="M17" s="5" t="n">
        <v>922168.6</v>
      </c>
      <c r="N17" s="5" t="n">
        <v>107494.53</v>
      </c>
    </row>
    <row r="18" customFormat="false" ht="15" hidden="false" customHeight="false" outlineLevel="0" collapsed="false">
      <c r="A18" s="7" t="s">
        <v>28</v>
      </c>
      <c r="B18" s="7" t="s">
        <v>20</v>
      </c>
      <c r="C18" s="7" t="s">
        <v>18</v>
      </c>
      <c r="D18" s="7" t="s">
        <v>19</v>
      </c>
      <c r="E18" s="8" t="n">
        <v>55716.82</v>
      </c>
      <c r="F18" s="7" t="n">
        <v>10054</v>
      </c>
      <c r="G18" s="7" t="n">
        <v>0.146</v>
      </c>
      <c r="H18" s="7" t="n">
        <v>24</v>
      </c>
      <c r="I18" s="7" t="n">
        <v>84.9</v>
      </c>
      <c r="J18" s="9" t="n">
        <v>1.06</v>
      </c>
      <c r="K18" s="7" t="n">
        <v>0</v>
      </c>
      <c r="L18" s="9" t="n">
        <v>4.3</v>
      </c>
      <c r="M18" s="8" t="n">
        <v>726606.28</v>
      </c>
      <c r="N18" s="8" t="n">
        <v>122729.29</v>
      </c>
    </row>
    <row r="19" customFormat="false" ht="15" hidden="false" customHeight="false" outlineLevel="0" collapsed="false">
      <c r="A19" s="4" t="s">
        <v>28</v>
      </c>
      <c r="B19" s="4" t="s">
        <v>21</v>
      </c>
      <c r="C19" s="4" t="s">
        <v>18</v>
      </c>
      <c r="D19" s="4" t="s">
        <v>19</v>
      </c>
      <c r="E19" s="5" t="n">
        <v>59909.51</v>
      </c>
      <c r="F19" s="4" t="n">
        <v>8895</v>
      </c>
      <c r="G19" s="4" t="n">
        <v>0.228</v>
      </c>
      <c r="H19" s="4" t="n">
        <v>23</v>
      </c>
      <c r="I19" s="4" t="n">
        <v>88.8</v>
      </c>
      <c r="J19" s="6" t="n">
        <v>0.27</v>
      </c>
      <c r="K19" s="4" t="n">
        <v>0</v>
      </c>
      <c r="L19" s="6" t="n">
        <v>4.3</v>
      </c>
      <c r="M19" s="5" t="n">
        <v>746501.09</v>
      </c>
      <c r="N19" s="5" t="n">
        <v>136816.72</v>
      </c>
    </row>
    <row r="20" customFormat="false" ht="15" hidden="false" customHeight="false" outlineLevel="0" collapsed="false">
      <c r="A20" s="7" t="s">
        <v>28</v>
      </c>
      <c r="B20" s="7" t="s">
        <v>22</v>
      </c>
      <c r="C20" s="7" t="s">
        <v>18</v>
      </c>
      <c r="D20" s="7" t="s">
        <v>19</v>
      </c>
      <c r="E20" s="8" t="n">
        <v>75305.71</v>
      </c>
      <c r="F20" s="7" t="n">
        <v>10940</v>
      </c>
      <c r="G20" s="7" t="n">
        <v>0.006</v>
      </c>
      <c r="H20" s="7" t="n">
        <v>26</v>
      </c>
      <c r="I20" s="7" t="n">
        <v>76.5</v>
      </c>
      <c r="J20" s="9" t="n">
        <v>1.32</v>
      </c>
      <c r="K20" s="7" t="n">
        <v>0</v>
      </c>
      <c r="L20" s="9" t="n">
        <v>4.5</v>
      </c>
      <c r="M20" s="8" t="n">
        <v>834017.02</v>
      </c>
      <c r="N20" s="8" t="n">
        <v>114745.03</v>
      </c>
    </row>
    <row r="21" customFormat="false" ht="15" hidden="false" customHeight="false" outlineLevel="0" collapsed="false">
      <c r="A21" s="4" t="s">
        <v>29</v>
      </c>
      <c r="B21" s="4" t="s">
        <v>17</v>
      </c>
      <c r="C21" s="4" t="s">
        <v>30</v>
      </c>
      <c r="D21" s="4" t="s">
        <v>19</v>
      </c>
      <c r="E21" s="5" t="n">
        <v>48804.22</v>
      </c>
      <c r="F21" s="4" t="n">
        <v>7057</v>
      </c>
      <c r="G21" s="4" t="n">
        <v>0.005</v>
      </c>
      <c r="H21" s="4" t="n">
        <v>15</v>
      </c>
      <c r="I21" s="4" t="n">
        <v>87.7</v>
      </c>
      <c r="J21" s="6" t="n">
        <v>1.22</v>
      </c>
      <c r="K21" s="4" t="n">
        <v>0</v>
      </c>
      <c r="L21" s="6" t="n">
        <v>3.7</v>
      </c>
      <c r="M21" s="5" t="n">
        <v>666152.52</v>
      </c>
      <c r="N21" s="5" t="n">
        <v>107490.58</v>
      </c>
    </row>
    <row r="22" customFormat="false" ht="15" hidden="false" customHeight="false" outlineLevel="0" collapsed="false">
      <c r="A22" s="7" t="s">
        <v>29</v>
      </c>
      <c r="B22" s="7" t="s">
        <v>20</v>
      </c>
      <c r="C22" s="7" t="s">
        <v>30</v>
      </c>
      <c r="D22" s="7" t="s">
        <v>19</v>
      </c>
      <c r="E22" s="8" t="n">
        <v>59117.9</v>
      </c>
      <c r="F22" s="7" t="n">
        <v>4263</v>
      </c>
      <c r="G22" s="7" t="n">
        <v>0.119</v>
      </c>
      <c r="H22" s="7" t="n">
        <v>9</v>
      </c>
      <c r="I22" s="7" t="n">
        <v>87.6</v>
      </c>
      <c r="J22" s="9" t="n">
        <v>4.01</v>
      </c>
      <c r="K22" s="7" t="n">
        <v>0</v>
      </c>
      <c r="L22" s="9" t="n">
        <v>3.6</v>
      </c>
      <c r="M22" s="8" t="n">
        <v>573155.19</v>
      </c>
      <c r="N22" s="8" t="n">
        <v>83680.75</v>
      </c>
    </row>
    <row r="23" customFormat="false" ht="15" hidden="false" customHeight="false" outlineLevel="0" collapsed="false">
      <c r="A23" s="4" t="s">
        <v>29</v>
      </c>
      <c r="B23" s="4" t="s">
        <v>21</v>
      </c>
      <c r="C23" s="4" t="s">
        <v>30</v>
      </c>
      <c r="D23" s="4" t="s">
        <v>19</v>
      </c>
      <c r="E23" s="5" t="n">
        <v>78831.12</v>
      </c>
      <c r="F23" s="4" t="n">
        <v>5538</v>
      </c>
      <c r="G23" s="4" t="n">
        <v>0</v>
      </c>
      <c r="H23" s="4" t="n">
        <v>15</v>
      </c>
      <c r="I23" s="4" t="n">
        <v>94.1</v>
      </c>
      <c r="J23" s="6" t="n">
        <v>0.2</v>
      </c>
      <c r="K23" s="4" t="n">
        <v>0</v>
      </c>
      <c r="L23" s="6" t="n">
        <v>3.9</v>
      </c>
      <c r="M23" s="5" t="n">
        <v>666573.2</v>
      </c>
      <c r="N23" s="5" t="n">
        <v>140641.02</v>
      </c>
    </row>
    <row r="24" customFormat="false" ht="15" hidden="false" customHeight="false" outlineLevel="0" collapsed="false">
      <c r="A24" s="7" t="s">
        <v>29</v>
      </c>
      <c r="B24" s="7" t="s">
        <v>22</v>
      </c>
      <c r="C24" s="7" t="s">
        <v>30</v>
      </c>
      <c r="D24" s="7" t="s">
        <v>19</v>
      </c>
      <c r="E24" s="8" t="n">
        <v>41441.93</v>
      </c>
      <c r="F24" s="7" t="n">
        <v>4865</v>
      </c>
      <c r="G24" s="7" t="n">
        <v>0.158</v>
      </c>
      <c r="H24" s="7" t="n">
        <v>16</v>
      </c>
      <c r="I24" s="7" t="n">
        <v>88.3</v>
      </c>
      <c r="J24" s="9" t="n">
        <v>0.5</v>
      </c>
      <c r="K24" s="7" t="n">
        <v>0</v>
      </c>
      <c r="L24" s="9" t="n">
        <v>4</v>
      </c>
      <c r="M24" s="8" t="n">
        <v>591619.95</v>
      </c>
      <c r="N24" s="8" t="n">
        <v>99521.35</v>
      </c>
    </row>
    <row r="25" customFormat="false" ht="15" hidden="false" customHeight="false" outlineLevel="0" collapsed="false">
      <c r="A25" s="4" t="s">
        <v>31</v>
      </c>
      <c r="B25" s="4" t="s">
        <v>17</v>
      </c>
      <c r="C25" s="4" t="s">
        <v>26</v>
      </c>
      <c r="D25" s="4" t="s">
        <v>19</v>
      </c>
      <c r="E25" s="5" t="n">
        <v>30356.28</v>
      </c>
      <c r="F25" s="4" t="n">
        <v>2822</v>
      </c>
      <c r="G25" s="4" t="n">
        <v>0.231</v>
      </c>
      <c r="H25" s="4" t="n">
        <v>9</v>
      </c>
      <c r="I25" s="4" t="n">
        <v>84.8</v>
      </c>
      <c r="J25" s="6" t="n">
        <v>6.95</v>
      </c>
      <c r="K25" s="4" t="n">
        <v>0</v>
      </c>
      <c r="L25" s="6" t="n">
        <v>5</v>
      </c>
      <c r="M25" s="5" t="n">
        <v>415721.82</v>
      </c>
      <c r="N25" s="5" t="n">
        <v>61179.15</v>
      </c>
    </row>
    <row r="26" customFormat="false" ht="15" hidden="false" customHeight="false" outlineLevel="0" collapsed="false">
      <c r="A26" s="7" t="s">
        <v>31</v>
      </c>
      <c r="B26" s="7" t="s">
        <v>20</v>
      </c>
      <c r="C26" s="7" t="s">
        <v>26</v>
      </c>
      <c r="D26" s="7" t="s">
        <v>19</v>
      </c>
      <c r="E26" s="8" t="n">
        <v>33518.88</v>
      </c>
      <c r="F26" s="7" t="n">
        <v>2121</v>
      </c>
      <c r="G26" s="7" t="n">
        <v>0.176</v>
      </c>
      <c r="H26" s="7" t="n">
        <v>8</v>
      </c>
      <c r="I26" s="7" t="n">
        <v>88.5</v>
      </c>
      <c r="J26" s="9" t="n">
        <v>0.2</v>
      </c>
      <c r="K26" s="7" t="n">
        <v>0</v>
      </c>
      <c r="L26" s="9" t="n">
        <v>5</v>
      </c>
      <c r="M26" s="8" t="n">
        <v>491905.13</v>
      </c>
      <c r="N26" s="8" t="n">
        <v>79212.26</v>
      </c>
    </row>
    <row r="27" customFormat="false" ht="15" hidden="false" customHeight="false" outlineLevel="0" collapsed="false">
      <c r="A27" s="4" t="s">
        <v>31</v>
      </c>
      <c r="B27" s="4" t="s">
        <v>21</v>
      </c>
      <c r="C27" s="4" t="s">
        <v>26</v>
      </c>
      <c r="D27" s="4" t="s">
        <v>19</v>
      </c>
      <c r="E27" s="5" t="n">
        <v>42267.37</v>
      </c>
      <c r="F27" s="4" t="n">
        <v>3364</v>
      </c>
      <c r="G27" s="4" t="n">
        <v>0.16</v>
      </c>
      <c r="H27" s="4" t="n">
        <v>13</v>
      </c>
      <c r="I27" s="4" t="n">
        <v>82</v>
      </c>
      <c r="J27" s="6" t="n">
        <v>1.61</v>
      </c>
      <c r="K27" s="4" t="n">
        <v>1</v>
      </c>
      <c r="L27" s="6" t="n">
        <v>4.6</v>
      </c>
      <c r="M27" s="5" t="n">
        <v>555929.4</v>
      </c>
      <c r="N27" s="5" t="n">
        <v>115201.76</v>
      </c>
    </row>
    <row r="28" customFormat="false" ht="15" hidden="false" customHeight="false" outlineLevel="0" collapsed="false">
      <c r="A28" s="7" t="s">
        <v>31</v>
      </c>
      <c r="B28" s="7" t="s">
        <v>22</v>
      </c>
      <c r="C28" s="7" t="s">
        <v>26</v>
      </c>
      <c r="D28" s="7" t="s">
        <v>19</v>
      </c>
      <c r="E28" s="8" t="n">
        <v>62060.43</v>
      </c>
      <c r="F28" s="7" t="n">
        <v>2613</v>
      </c>
      <c r="G28" s="7" t="n">
        <v>0.216</v>
      </c>
      <c r="H28" s="7" t="n">
        <v>12</v>
      </c>
      <c r="I28" s="7" t="n">
        <v>92.1</v>
      </c>
      <c r="J28" s="9" t="n">
        <v>1.55</v>
      </c>
      <c r="K28" s="7" t="n">
        <v>0</v>
      </c>
      <c r="L28" s="9" t="n">
        <v>4.7</v>
      </c>
      <c r="M28" s="8" t="n">
        <v>565810.99</v>
      </c>
      <c r="N28" s="8" t="n">
        <v>77825.46</v>
      </c>
    </row>
    <row r="29" customFormat="false" ht="15" hidden="false" customHeight="false" outlineLevel="0" collapsed="false">
      <c r="A29" s="4" t="s">
        <v>32</v>
      </c>
      <c r="B29" s="4" t="s">
        <v>17</v>
      </c>
      <c r="C29" s="4" t="s">
        <v>33</v>
      </c>
      <c r="D29" s="4" t="s">
        <v>34</v>
      </c>
      <c r="E29" s="5" t="n">
        <v>57696.69</v>
      </c>
      <c r="F29" s="4" t="n">
        <v>10218</v>
      </c>
      <c r="G29" s="4" t="n">
        <v>0.121</v>
      </c>
      <c r="H29" s="4" t="n">
        <v>25</v>
      </c>
      <c r="I29" s="4" t="n">
        <v>94.8</v>
      </c>
      <c r="J29" s="6" t="n">
        <v>2.99</v>
      </c>
      <c r="K29" s="4" t="n">
        <v>0</v>
      </c>
      <c r="L29" s="6" t="n">
        <v>3.5</v>
      </c>
      <c r="M29" s="5" t="n">
        <v>811771.14</v>
      </c>
      <c r="N29" s="5" t="n">
        <v>148756.24</v>
      </c>
    </row>
    <row r="30" customFormat="false" ht="15" hidden="false" customHeight="false" outlineLevel="0" collapsed="false">
      <c r="A30" s="7" t="s">
        <v>32</v>
      </c>
      <c r="B30" s="7" t="s">
        <v>20</v>
      </c>
      <c r="C30" s="7" t="s">
        <v>33</v>
      </c>
      <c r="D30" s="7" t="s">
        <v>34</v>
      </c>
      <c r="E30" s="8" t="n">
        <v>172415.52</v>
      </c>
      <c r="F30" s="7" t="n">
        <v>8927</v>
      </c>
      <c r="G30" s="7" t="n">
        <v>0.14</v>
      </c>
      <c r="H30" s="7" t="n">
        <v>22</v>
      </c>
      <c r="I30" s="7" t="n">
        <v>86.2</v>
      </c>
      <c r="J30" s="9" t="n">
        <v>7.04</v>
      </c>
      <c r="K30" s="7" t="n">
        <v>0</v>
      </c>
      <c r="L30" s="9" t="n">
        <v>3.9</v>
      </c>
      <c r="M30" s="8" t="n">
        <v>800451.94</v>
      </c>
      <c r="N30" s="8" t="n">
        <v>111572.29</v>
      </c>
    </row>
    <row r="31" customFormat="false" ht="15" hidden="false" customHeight="false" outlineLevel="0" collapsed="false">
      <c r="A31" s="4" t="s">
        <v>32</v>
      </c>
      <c r="B31" s="4" t="s">
        <v>21</v>
      </c>
      <c r="C31" s="4" t="s">
        <v>33</v>
      </c>
      <c r="D31" s="4" t="s">
        <v>34</v>
      </c>
      <c r="E31" s="5" t="n">
        <v>55270.52</v>
      </c>
      <c r="F31" s="4" t="n">
        <v>9315</v>
      </c>
      <c r="G31" s="4" t="n">
        <v>0.169</v>
      </c>
      <c r="H31" s="4" t="n">
        <v>23</v>
      </c>
      <c r="I31" s="4" t="n">
        <v>91.9</v>
      </c>
      <c r="J31" s="6" t="n">
        <v>4.94</v>
      </c>
      <c r="K31" s="4" t="n">
        <v>0</v>
      </c>
      <c r="L31" s="6" t="n">
        <v>4</v>
      </c>
      <c r="M31" s="5" t="n">
        <v>783672.82</v>
      </c>
      <c r="N31" s="5" t="n">
        <v>112577.14</v>
      </c>
    </row>
    <row r="32" customFormat="false" ht="15" hidden="false" customHeight="false" outlineLevel="0" collapsed="false">
      <c r="A32" s="7" t="s">
        <v>32</v>
      </c>
      <c r="B32" s="7" t="s">
        <v>22</v>
      </c>
      <c r="C32" s="7" t="s">
        <v>33</v>
      </c>
      <c r="D32" s="7" t="s">
        <v>34</v>
      </c>
      <c r="E32" s="8" t="n">
        <v>52715.1</v>
      </c>
      <c r="F32" s="7" t="n">
        <v>7223</v>
      </c>
      <c r="G32" s="7" t="n">
        <v>0.122</v>
      </c>
      <c r="H32" s="7" t="n">
        <v>16</v>
      </c>
      <c r="I32" s="7" t="n">
        <v>84.2</v>
      </c>
      <c r="J32" s="9" t="n">
        <v>16.15</v>
      </c>
      <c r="K32" s="7" t="n">
        <v>0</v>
      </c>
      <c r="L32" s="9" t="n">
        <v>3.7</v>
      </c>
      <c r="M32" s="8" t="n">
        <v>701641.97</v>
      </c>
      <c r="N32" s="8" t="n">
        <v>106111.86</v>
      </c>
    </row>
    <row r="33" customFormat="false" ht="15" hidden="false" customHeight="false" outlineLevel="0" collapsed="false">
      <c r="A33" s="4" t="s">
        <v>35</v>
      </c>
      <c r="B33" s="4" t="s">
        <v>17</v>
      </c>
      <c r="C33" s="4" t="s">
        <v>18</v>
      </c>
      <c r="D33" s="4" t="s">
        <v>19</v>
      </c>
      <c r="E33" s="5" t="n">
        <v>68600.62</v>
      </c>
      <c r="F33" s="4" t="n">
        <v>3988</v>
      </c>
      <c r="G33" s="4" t="n">
        <v>0.124</v>
      </c>
      <c r="H33" s="4" t="n">
        <v>11</v>
      </c>
      <c r="I33" s="4" t="n">
        <v>85</v>
      </c>
      <c r="J33" s="6" t="n">
        <v>0.48</v>
      </c>
      <c r="K33" s="4" t="n">
        <v>0</v>
      </c>
      <c r="L33" s="6" t="n">
        <v>3.6</v>
      </c>
      <c r="M33" s="5" t="n">
        <v>511844.41</v>
      </c>
      <c r="N33" s="5" t="n">
        <v>72774.44</v>
      </c>
    </row>
    <row r="34" customFormat="false" ht="15" hidden="false" customHeight="false" outlineLevel="0" collapsed="false">
      <c r="A34" s="7" t="s">
        <v>35</v>
      </c>
      <c r="B34" s="7" t="s">
        <v>20</v>
      </c>
      <c r="C34" s="7" t="s">
        <v>18</v>
      </c>
      <c r="D34" s="7" t="s">
        <v>19</v>
      </c>
      <c r="E34" s="8" t="n">
        <v>63176.73</v>
      </c>
      <c r="F34" s="7" t="n">
        <v>2390</v>
      </c>
      <c r="G34" s="7" t="n">
        <v>0.216</v>
      </c>
      <c r="H34" s="7" t="n">
        <v>9</v>
      </c>
      <c r="I34" s="7" t="n">
        <v>87.5</v>
      </c>
      <c r="J34" s="9" t="n">
        <v>0.31</v>
      </c>
      <c r="K34" s="7" t="n">
        <v>0</v>
      </c>
      <c r="L34" s="9" t="n">
        <v>3.1</v>
      </c>
      <c r="M34" s="8" t="n">
        <v>537383.79</v>
      </c>
      <c r="N34" s="8" t="n">
        <v>63773.27</v>
      </c>
    </row>
    <row r="35" customFormat="false" ht="15" hidden="false" customHeight="false" outlineLevel="0" collapsed="false">
      <c r="A35" s="4" t="s">
        <v>35</v>
      </c>
      <c r="B35" s="4" t="s">
        <v>21</v>
      </c>
      <c r="C35" s="4" t="s">
        <v>18</v>
      </c>
      <c r="D35" s="4" t="s">
        <v>19</v>
      </c>
      <c r="E35" s="5" t="n">
        <v>44970.08</v>
      </c>
      <c r="F35" s="4" t="n">
        <v>2471</v>
      </c>
      <c r="G35" s="4" t="n">
        <v>0.136</v>
      </c>
      <c r="H35" s="4" t="n">
        <v>11</v>
      </c>
      <c r="I35" s="4" t="n">
        <v>87.6</v>
      </c>
      <c r="J35" s="6" t="n">
        <v>3.01</v>
      </c>
      <c r="K35" s="4" t="n">
        <v>1</v>
      </c>
      <c r="L35" s="6" t="n">
        <v>3.7</v>
      </c>
      <c r="M35" s="5" t="n">
        <v>500173.02</v>
      </c>
      <c r="N35" s="5" t="n">
        <v>70982.05</v>
      </c>
    </row>
    <row r="36" customFormat="false" ht="15" hidden="false" customHeight="false" outlineLevel="0" collapsed="false">
      <c r="A36" s="7" t="s">
        <v>35</v>
      </c>
      <c r="B36" s="7" t="s">
        <v>22</v>
      </c>
      <c r="C36" s="7" t="s">
        <v>18</v>
      </c>
      <c r="D36" s="7" t="s">
        <v>19</v>
      </c>
      <c r="E36" s="8" t="n">
        <v>69816.35</v>
      </c>
      <c r="F36" s="7" t="n">
        <v>971</v>
      </c>
      <c r="G36" s="7" t="n">
        <v>0.168</v>
      </c>
      <c r="H36" s="7" t="n">
        <v>5</v>
      </c>
      <c r="I36" s="7" t="n">
        <v>89.9</v>
      </c>
      <c r="J36" s="9" t="n">
        <v>12.15</v>
      </c>
      <c r="K36" s="7" t="n">
        <v>0</v>
      </c>
      <c r="L36" s="9" t="n">
        <v>3.6</v>
      </c>
      <c r="M36" s="8" t="n">
        <v>427917.38</v>
      </c>
      <c r="N36" s="8" t="n">
        <v>81824.31</v>
      </c>
    </row>
    <row r="37" customFormat="false" ht="15" hidden="false" customHeight="false" outlineLevel="0" collapsed="false">
      <c r="A37" s="4" t="s">
        <v>36</v>
      </c>
      <c r="B37" s="4" t="s">
        <v>17</v>
      </c>
      <c r="C37" s="4" t="s">
        <v>26</v>
      </c>
      <c r="D37" s="4" t="s">
        <v>19</v>
      </c>
      <c r="E37" s="5" t="n">
        <v>54597.83</v>
      </c>
      <c r="F37" s="4" t="n">
        <v>9429</v>
      </c>
      <c r="G37" s="4" t="n">
        <v>0.188</v>
      </c>
      <c r="H37" s="4" t="n">
        <v>21</v>
      </c>
      <c r="I37" s="4" t="n">
        <v>83.3</v>
      </c>
      <c r="J37" s="6" t="n">
        <v>11.71</v>
      </c>
      <c r="K37" s="4" t="n">
        <v>0</v>
      </c>
      <c r="L37" s="6" t="n">
        <v>4.2</v>
      </c>
      <c r="M37" s="5" t="n">
        <v>641865.03</v>
      </c>
      <c r="N37" s="5" t="n">
        <v>81342.58</v>
      </c>
    </row>
    <row r="38" customFormat="false" ht="15" hidden="false" customHeight="false" outlineLevel="0" collapsed="false">
      <c r="A38" s="7" t="s">
        <v>36</v>
      </c>
      <c r="B38" s="7" t="s">
        <v>20</v>
      </c>
      <c r="C38" s="7" t="s">
        <v>26</v>
      </c>
      <c r="D38" s="7" t="s">
        <v>19</v>
      </c>
      <c r="E38" s="8" t="n">
        <v>73771.91</v>
      </c>
      <c r="F38" s="7" t="n">
        <v>11695</v>
      </c>
      <c r="G38" s="7" t="n">
        <v>0.07</v>
      </c>
      <c r="H38" s="7" t="n">
        <v>25</v>
      </c>
      <c r="I38" s="7" t="n">
        <v>84.7</v>
      </c>
      <c r="J38" s="9" t="n">
        <v>0.62</v>
      </c>
      <c r="K38" s="7" t="n">
        <v>0</v>
      </c>
      <c r="L38" s="9"/>
      <c r="M38" s="8" t="n">
        <v>799477.76</v>
      </c>
      <c r="N38" s="8" t="n">
        <v>164974.41</v>
      </c>
    </row>
    <row r="39" customFormat="false" ht="15" hidden="false" customHeight="false" outlineLevel="0" collapsed="false">
      <c r="A39" s="4" t="s">
        <v>36</v>
      </c>
      <c r="B39" s="4" t="s">
        <v>21</v>
      </c>
      <c r="C39" s="4" t="s">
        <v>26</v>
      </c>
      <c r="D39" s="4" t="s">
        <v>19</v>
      </c>
      <c r="E39" s="5" t="n">
        <v>74413.88</v>
      </c>
      <c r="F39" s="4" t="n">
        <v>9449</v>
      </c>
      <c r="G39" s="4" t="n">
        <v>0.039</v>
      </c>
      <c r="H39" s="4" t="n">
        <v>23</v>
      </c>
      <c r="I39" s="4" t="n">
        <v>92.1</v>
      </c>
      <c r="J39" s="6" t="n">
        <v>2.12</v>
      </c>
      <c r="K39" s="4" t="n">
        <v>0</v>
      </c>
      <c r="L39" s="6" t="n">
        <v>3.5</v>
      </c>
      <c r="M39" s="5" t="n">
        <v>798952.17</v>
      </c>
      <c r="N39" s="5" t="n">
        <v>161499.04</v>
      </c>
    </row>
    <row r="40" customFormat="false" ht="15" hidden="false" customHeight="false" outlineLevel="0" collapsed="false">
      <c r="A40" s="7" t="s">
        <v>36</v>
      </c>
      <c r="B40" s="7" t="s">
        <v>22</v>
      </c>
      <c r="C40" s="7" t="s">
        <v>26</v>
      </c>
      <c r="D40" s="7" t="s">
        <v>19</v>
      </c>
      <c r="E40" s="8" t="n">
        <v>52483.77</v>
      </c>
      <c r="F40" s="7" t="n">
        <v>10453</v>
      </c>
      <c r="G40" s="7" t="n">
        <v>0.247</v>
      </c>
      <c r="H40" s="7" t="n">
        <v>25</v>
      </c>
      <c r="I40" s="7" t="n">
        <v>99</v>
      </c>
      <c r="J40" s="9" t="n">
        <v>6.31</v>
      </c>
      <c r="K40" s="7" t="n">
        <v>0</v>
      </c>
      <c r="L40" s="9" t="n">
        <v>3.6</v>
      </c>
      <c r="M40" s="8" t="n">
        <v>800979.78</v>
      </c>
      <c r="N40" s="8" t="n">
        <v>149242.27</v>
      </c>
    </row>
    <row r="41" customFormat="false" ht="15" hidden="false" customHeight="false" outlineLevel="0" collapsed="false">
      <c r="A41" s="4" t="s">
        <v>37</v>
      </c>
      <c r="B41" s="4" t="s">
        <v>17</v>
      </c>
      <c r="C41" s="4" t="s">
        <v>26</v>
      </c>
      <c r="D41" s="4" t="s">
        <v>34</v>
      </c>
      <c r="E41" s="5" t="n">
        <v>75269.87</v>
      </c>
      <c r="F41" s="4" t="n">
        <v>8838</v>
      </c>
      <c r="G41" s="4" t="n">
        <v>0.092</v>
      </c>
      <c r="H41" s="4" t="n">
        <v>21</v>
      </c>
      <c r="I41" s="4" t="n">
        <v>83.1</v>
      </c>
      <c r="J41" s="6" t="n">
        <v>9.56</v>
      </c>
      <c r="K41" s="4" t="n">
        <v>1</v>
      </c>
      <c r="L41" s="6" t="n">
        <v>4.2</v>
      </c>
      <c r="M41" s="5" t="n">
        <v>820593.93</v>
      </c>
      <c r="N41" s="5" t="n">
        <v>115860.06</v>
      </c>
    </row>
    <row r="42" customFormat="false" ht="15" hidden="false" customHeight="false" outlineLevel="0" collapsed="false">
      <c r="A42" s="7" t="s">
        <v>37</v>
      </c>
      <c r="B42" s="7" t="s">
        <v>20</v>
      </c>
      <c r="C42" s="7" t="s">
        <v>26</v>
      </c>
      <c r="D42" s="7" t="s">
        <v>34</v>
      </c>
      <c r="E42" s="8" t="n">
        <v>61245.41</v>
      </c>
      <c r="F42" s="7" t="n">
        <v>8156</v>
      </c>
      <c r="G42" s="7" t="n">
        <v>0.156</v>
      </c>
      <c r="H42" s="7" t="n">
        <v>19</v>
      </c>
      <c r="I42" s="7" t="n">
        <v>92.9</v>
      </c>
      <c r="J42" s="9" t="n">
        <v>9.05</v>
      </c>
      <c r="K42" s="7" t="n">
        <v>0</v>
      </c>
      <c r="L42" s="9" t="n">
        <v>3.8</v>
      </c>
      <c r="M42" s="8" t="n">
        <v>718330.53</v>
      </c>
      <c r="N42" s="8" t="n">
        <v>93247.9</v>
      </c>
    </row>
    <row r="43" customFormat="false" ht="15" hidden="false" customHeight="false" outlineLevel="0" collapsed="false">
      <c r="A43" s="4" t="s">
        <v>37</v>
      </c>
      <c r="B43" s="4" t="s">
        <v>21</v>
      </c>
      <c r="C43" s="4" t="s">
        <v>26</v>
      </c>
      <c r="D43" s="4" t="s">
        <v>34</v>
      </c>
      <c r="E43" s="5" t="n">
        <v>93381.26</v>
      </c>
      <c r="F43" s="4" t="n">
        <v>7562</v>
      </c>
      <c r="G43" s="4" t="n">
        <v>0.198</v>
      </c>
      <c r="H43" s="4" t="n">
        <v>19</v>
      </c>
      <c r="I43" s="4" t="n">
        <v>82.9</v>
      </c>
      <c r="J43" s="6" t="n">
        <v>5.05</v>
      </c>
      <c r="K43" s="4" t="n">
        <v>0</v>
      </c>
      <c r="L43" s="6" t="n">
        <v>4</v>
      </c>
      <c r="M43" s="5" t="n">
        <v>736633.4</v>
      </c>
      <c r="N43" s="5" t="n">
        <v>115654.66</v>
      </c>
    </row>
    <row r="44" customFormat="false" ht="15" hidden="false" customHeight="false" outlineLevel="0" collapsed="false">
      <c r="A44" s="7" t="s">
        <v>37</v>
      </c>
      <c r="B44" s="7" t="s">
        <v>22</v>
      </c>
      <c r="C44" s="7" t="s">
        <v>26</v>
      </c>
      <c r="D44" s="7" t="s">
        <v>34</v>
      </c>
      <c r="E44" s="8" t="n">
        <v>65012.19</v>
      </c>
      <c r="F44" s="7" t="n">
        <v>9598</v>
      </c>
      <c r="G44" s="7" t="n">
        <v>0.085</v>
      </c>
      <c r="H44" s="7" t="n">
        <v>24</v>
      </c>
      <c r="I44" s="7" t="n">
        <v>98.3</v>
      </c>
      <c r="J44" s="9" t="n">
        <v>0.89</v>
      </c>
      <c r="K44" s="7" t="n">
        <v>0</v>
      </c>
      <c r="L44" s="9" t="n">
        <v>3.8</v>
      </c>
      <c r="M44" s="8" t="n">
        <v>828623.85</v>
      </c>
      <c r="N44" s="8" t="n">
        <v>167320.52</v>
      </c>
    </row>
    <row r="45" customFormat="false" ht="15" hidden="false" customHeight="false" outlineLevel="0" collapsed="false">
      <c r="A45" s="4" t="s">
        <v>38</v>
      </c>
      <c r="B45" s="4" t="s">
        <v>17</v>
      </c>
      <c r="C45" s="4" t="s">
        <v>18</v>
      </c>
      <c r="D45" s="4" t="s">
        <v>34</v>
      </c>
      <c r="E45" s="5" t="n">
        <v>40462.94</v>
      </c>
      <c r="F45" s="4" t="n">
        <v>3660</v>
      </c>
      <c r="G45" s="4" t="n">
        <v>0.218</v>
      </c>
      <c r="H45" s="4" t="n">
        <v>11</v>
      </c>
      <c r="I45" s="4" t="n">
        <v>95.2</v>
      </c>
      <c r="J45" s="6" t="n">
        <v>5.57</v>
      </c>
      <c r="K45" s="4" t="n">
        <v>0</v>
      </c>
      <c r="L45" s="6" t="n">
        <v>4.4</v>
      </c>
      <c r="M45" s="5" t="n">
        <v>592195.85</v>
      </c>
      <c r="N45" s="5" t="n">
        <v>92291.56</v>
      </c>
    </row>
    <row r="46" customFormat="false" ht="15" hidden="false" customHeight="false" outlineLevel="0" collapsed="false">
      <c r="A46" s="7" t="s">
        <v>38</v>
      </c>
      <c r="B46" s="7" t="s">
        <v>20</v>
      </c>
      <c r="C46" s="7" t="s">
        <v>18</v>
      </c>
      <c r="D46" s="7" t="s">
        <v>34</v>
      </c>
      <c r="E46" s="8" t="n">
        <v>46123.88</v>
      </c>
      <c r="F46" s="7" t="n">
        <v>3227</v>
      </c>
      <c r="G46" s="7" t="n">
        <v>0.143</v>
      </c>
      <c r="H46" s="7" t="n">
        <v>10</v>
      </c>
      <c r="I46" s="7" t="n">
        <v>75.4</v>
      </c>
      <c r="J46" s="9" t="n">
        <v>1.06</v>
      </c>
      <c r="K46" s="7" t="n">
        <v>0</v>
      </c>
      <c r="L46" s="9" t="n">
        <v>4.4</v>
      </c>
      <c r="M46" s="8" t="n">
        <v>532644.46</v>
      </c>
      <c r="N46" s="8" t="n">
        <v>60681.32</v>
      </c>
    </row>
    <row r="47" customFormat="false" ht="15" hidden="false" customHeight="false" outlineLevel="0" collapsed="false">
      <c r="A47" s="4" t="s">
        <v>38</v>
      </c>
      <c r="B47" s="4" t="s">
        <v>21</v>
      </c>
      <c r="C47" s="4" t="s">
        <v>18</v>
      </c>
      <c r="D47" s="4" t="s">
        <v>34</v>
      </c>
      <c r="E47" s="5" t="n">
        <v>68077.54</v>
      </c>
      <c r="F47" s="4" t="n">
        <v>3360</v>
      </c>
      <c r="G47" s="4" t="n">
        <v>0.128</v>
      </c>
      <c r="H47" s="4" t="n">
        <v>14</v>
      </c>
      <c r="I47" s="4" t="n">
        <v>88.2</v>
      </c>
      <c r="J47" s="6" t="n">
        <v>1.24</v>
      </c>
      <c r="K47" s="4" t="n">
        <v>1</v>
      </c>
      <c r="L47" s="6" t="n">
        <v>4</v>
      </c>
      <c r="M47" s="5" t="n">
        <v>657429.18</v>
      </c>
      <c r="N47" s="5" t="n">
        <v>88919.74</v>
      </c>
    </row>
    <row r="48" customFormat="false" ht="15" hidden="false" customHeight="false" outlineLevel="0" collapsed="false">
      <c r="A48" s="7" t="s">
        <v>38</v>
      </c>
      <c r="B48" s="7" t="s">
        <v>22</v>
      </c>
      <c r="C48" s="7" t="s">
        <v>18</v>
      </c>
      <c r="D48" s="7" t="s">
        <v>34</v>
      </c>
      <c r="E48" s="8" t="n">
        <v>64882.14</v>
      </c>
      <c r="F48" s="7" t="n">
        <v>3642</v>
      </c>
      <c r="G48" s="7" t="n">
        <v>0.019</v>
      </c>
      <c r="H48" s="7" t="n">
        <v>13</v>
      </c>
      <c r="I48" s="7" t="n">
        <v>87.8</v>
      </c>
      <c r="J48" s="9" t="n">
        <v>4.52</v>
      </c>
      <c r="K48" s="7" t="n">
        <v>0</v>
      </c>
      <c r="L48" s="9" t="n">
        <v>4.2</v>
      </c>
      <c r="M48" s="8" t="n">
        <v>605178</v>
      </c>
      <c r="N48" s="8" t="n">
        <v>106958.74</v>
      </c>
    </row>
    <row r="49" customFormat="false" ht="15" hidden="false" customHeight="false" outlineLevel="0" collapsed="false">
      <c r="A49" s="4" t="s">
        <v>39</v>
      </c>
      <c r="B49" s="4" t="s">
        <v>17</v>
      </c>
      <c r="C49" s="4" t="s">
        <v>33</v>
      </c>
      <c r="D49" s="4" t="s">
        <v>19</v>
      </c>
      <c r="E49" s="5" t="n">
        <v>138855.51</v>
      </c>
      <c r="F49" s="4" t="n">
        <v>5145</v>
      </c>
      <c r="G49" s="4" t="n">
        <v>0.06</v>
      </c>
      <c r="H49" s="4" t="n">
        <v>17</v>
      </c>
      <c r="I49" s="4" t="n">
        <v>88.2</v>
      </c>
      <c r="J49" s="6" t="n">
        <v>9.58</v>
      </c>
      <c r="K49" s="4" t="n">
        <v>0</v>
      </c>
      <c r="L49" s="6" t="n">
        <v>3.2</v>
      </c>
      <c r="M49" s="5" t="n">
        <v>595467.6</v>
      </c>
      <c r="N49" s="5" t="n">
        <v>104276.46</v>
      </c>
    </row>
    <row r="50" customFormat="false" ht="15" hidden="false" customHeight="false" outlineLevel="0" collapsed="false">
      <c r="A50" s="7" t="s">
        <v>39</v>
      </c>
      <c r="B50" s="7" t="s">
        <v>20</v>
      </c>
      <c r="C50" s="7" t="s">
        <v>33</v>
      </c>
      <c r="D50" s="7" t="s">
        <v>19</v>
      </c>
      <c r="E50" s="8" t="n">
        <v>63630.21</v>
      </c>
      <c r="F50" s="7" t="n">
        <v>4460</v>
      </c>
      <c r="G50" s="7" t="n">
        <v>0.235</v>
      </c>
      <c r="H50" s="7" t="n">
        <v>14</v>
      </c>
      <c r="I50" s="7" t="n">
        <v>98.6</v>
      </c>
      <c r="J50" s="9" t="n">
        <v>5.52</v>
      </c>
      <c r="K50" s="7" t="n">
        <v>0</v>
      </c>
      <c r="L50" s="9" t="n">
        <v>3.5</v>
      </c>
      <c r="M50" s="8" t="n">
        <v>599603.4</v>
      </c>
      <c r="N50" s="8" t="n">
        <v>112685.12</v>
      </c>
    </row>
    <row r="51" customFormat="false" ht="15" hidden="false" customHeight="false" outlineLevel="0" collapsed="false">
      <c r="A51" s="4" t="s">
        <v>39</v>
      </c>
      <c r="B51" s="4" t="s">
        <v>21</v>
      </c>
      <c r="C51" s="4" t="s">
        <v>33</v>
      </c>
      <c r="D51" s="4" t="s">
        <v>19</v>
      </c>
      <c r="E51" s="5" t="n">
        <v>50043.65</v>
      </c>
      <c r="F51" s="4" t="n">
        <v>3804</v>
      </c>
      <c r="G51" s="4" t="n">
        <v>0.113</v>
      </c>
      <c r="H51" s="4" t="n">
        <v>11</v>
      </c>
      <c r="I51" s="4" t="n">
        <v>90.9</v>
      </c>
      <c r="J51" s="6" t="n">
        <v>2.7</v>
      </c>
      <c r="K51" s="4" t="n">
        <v>1</v>
      </c>
      <c r="L51" s="6" t="n">
        <v>3.2</v>
      </c>
      <c r="M51" s="5" t="n">
        <v>614800.09</v>
      </c>
      <c r="N51" s="5" t="n">
        <v>100044.2</v>
      </c>
    </row>
    <row r="52" customFormat="false" ht="15" hidden="false" customHeight="false" outlineLevel="0" collapsed="false">
      <c r="A52" s="7" t="s">
        <v>39</v>
      </c>
      <c r="B52" s="7" t="s">
        <v>22</v>
      </c>
      <c r="C52" s="7" t="s">
        <v>33</v>
      </c>
      <c r="D52" s="7" t="s">
        <v>19</v>
      </c>
      <c r="E52" s="8" t="n">
        <v>42093.84</v>
      </c>
      <c r="F52" s="7" t="n">
        <v>4074</v>
      </c>
      <c r="G52" s="7" t="n">
        <v>0.155</v>
      </c>
      <c r="H52" s="7" t="n">
        <v>15</v>
      </c>
      <c r="I52" s="7" t="n">
        <v>88</v>
      </c>
      <c r="J52" s="9" t="n">
        <v>9.64</v>
      </c>
      <c r="K52" s="7" t="n">
        <v>0</v>
      </c>
      <c r="L52" s="9" t="n">
        <v>3.3</v>
      </c>
      <c r="M52" s="8" t="n">
        <v>585365.73</v>
      </c>
      <c r="N52" s="8" t="n">
        <v>81011.52</v>
      </c>
    </row>
    <row r="53" customFormat="false" ht="15" hidden="false" customHeight="false" outlineLevel="0" collapsed="false">
      <c r="A53" s="4" t="s">
        <v>40</v>
      </c>
      <c r="B53" s="4" t="s">
        <v>17</v>
      </c>
      <c r="C53" s="4" t="s">
        <v>26</v>
      </c>
      <c r="D53" s="4" t="s">
        <v>34</v>
      </c>
      <c r="E53" s="5" t="n">
        <v>46624.05</v>
      </c>
      <c r="F53" s="4" t="n">
        <v>5104</v>
      </c>
      <c r="G53" s="4" t="n">
        <v>0.109</v>
      </c>
      <c r="H53" s="4" t="n">
        <v>11</v>
      </c>
      <c r="I53" s="4" t="n">
        <v>97.3</v>
      </c>
      <c r="J53" s="6" t="n">
        <v>3.49</v>
      </c>
      <c r="K53" s="4" t="n">
        <v>1</v>
      </c>
      <c r="L53" s="6" t="n">
        <v>4.7</v>
      </c>
      <c r="M53" s="5" t="n">
        <v>622811.74</v>
      </c>
      <c r="N53" s="5" t="n">
        <v>109978.35</v>
      </c>
    </row>
    <row r="54" customFormat="false" ht="15" hidden="false" customHeight="false" outlineLevel="0" collapsed="false">
      <c r="A54" s="7" t="s">
        <v>40</v>
      </c>
      <c r="B54" s="7" t="s">
        <v>20</v>
      </c>
      <c r="C54" s="7" t="s">
        <v>26</v>
      </c>
      <c r="D54" s="7" t="s">
        <v>34</v>
      </c>
      <c r="E54" s="8" t="n">
        <v>49710.29</v>
      </c>
      <c r="F54" s="7" t="n">
        <v>5559</v>
      </c>
      <c r="G54" s="7" t="n">
        <v>0.218</v>
      </c>
      <c r="H54" s="7" t="n">
        <v>14</v>
      </c>
      <c r="I54" s="7" t="n">
        <v>71</v>
      </c>
      <c r="J54" s="9" t="n">
        <v>9.11</v>
      </c>
      <c r="K54" s="7" t="n">
        <v>0</v>
      </c>
      <c r="L54" s="9" t="n">
        <v>4.6</v>
      </c>
      <c r="M54" s="8" t="n">
        <v>603297.57</v>
      </c>
      <c r="N54" s="8" t="n">
        <v>60592.26</v>
      </c>
    </row>
    <row r="55" customFormat="false" ht="15" hidden="false" customHeight="false" outlineLevel="0" collapsed="false">
      <c r="A55" s="4" t="s">
        <v>40</v>
      </c>
      <c r="B55" s="4" t="s">
        <v>21</v>
      </c>
      <c r="C55" s="4" t="s">
        <v>26</v>
      </c>
      <c r="D55" s="4" t="s">
        <v>34</v>
      </c>
      <c r="E55" s="5" t="n">
        <v>48287.85</v>
      </c>
      <c r="F55" s="4" t="n">
        <v>5150</v>
      </c>
      <c r="G55" s="4" t="n">
        <v>0.008</v>
      </c>
      <c r="H55" s="4" t="n">
        <v>12</v>
      </c>
      <c r="I55" s="4" t="n">
        <v>80.4</v>
      </c>
      <c r="J55" s="6" t="n">
        <v>7.4</v>
      </c>
      <c r="K55" s="4" t="n">
        <v>0</v>
      </c>
      <c r="L55" s="6" t="n">
        <v>4.5</v>
      </c>
      <c r="M55" s="5" t="n">
        <v>625672.86</v>
      </c>
      <c r="N55" s="5" t="n">
        <v>118020.12</v>
      </c>
    </row>
    <row r="56" customFormat="false" ht="15" hidden="false" customHeight="false" outlineLevel="0" collapsed="false">
      <c r="A56" s="7" t="s">
        <v>40</v>
      </c>
      <c r="B56" s="7" t="s">
        <v>22</v>
      </c>
      <c r="C56" s="7" t="s">
        <v>26</v>
      </c>
      <c r="D56" s="7" t="s">
        <v>34</v>
      </c>
      <c r="E56" s="8" t="n">
        <v>65312.49</v>
      </c>
      <c r="F56" s="7" t="n">
        <v>7189</v>
      </c>
      <c r="G56" s="7" t="n">
        <v>0.05</v>
      </c>
      <c r="H56" s="7" t="n">
        <v>19</v>
      </c>
      <c r="I56" s="7" t="n">
        <v>93.7</v>
      </c>
      <c r="J56" s="9" t="n">
        <v>7.16</v>
      </c>
      <c r="K56" s="7" t="n">
        <v>0</v>
      </c>
      <c r="L56" s="9" t="n">
        <v>4.6</v>
      </c>
      <c r="M56" s="8" t="n">
        <v>773815.14</v>
      </c>
      <c r="N56" s="8" t="n">
        <v>133948.39</v>
      </c>
    </row>
    <row r="57" customFormat="false" ht="15" hidden="false" customHeight="false" outlineLevel="0" collapsed="false">
      <c r="A57" s="4" t="s">
        <v>41</v>
      </c>
      <c r="B57" s="4" t="s">
        <v>17</v>
      </c>
      <c r="C57" s="4" t="s">
        <v>33</v>
      </c>
      <c r="D57" s="4" t="s">
        <v>24</v>
      </c>
      <c r="E57" s="5" t="n">
        <v>53015.46</v>
      </c>
      <c r="F57" s="4" t="n">
        <v>3279</v>
      </c>
      <c r="G57" s="4" t="n">
        <v>0.087</v>
      </c>
      <c r="H57" s="4" t="n">
        <v>9</v>
      </c>
      <c r="I57" s="4" t="n">
        <v>84.3</v>
      </c>
      <c r="J57" s="6" t="n">
        <v>22.02</v>
      </c>
      <c r="K57" s="4" t="n">
        <v>0</v>
      </c>
      <c r="L57" s="6" t="n">
        <v>3.9</v>
      </c>
      <c r="M57" s="5" t="n">
        <v>463534.25</v>
      </c>
      <c r="N57" s="5" t="n">
        <v>81834.54</v>
      </c>
    </row>
    <row r="58" customFormat="false" ht="15" hidden="false" customHeight="false" outlineLevel="0" collapsed="false">
      <c r="A58" s="7" t="s">
        <v>41</v>
      </c>
      <c r="B58" s="7" t="s">
        <v>20</v>
      </c>
      <c r="C58" s="7" t="s">
        <v>33</v>
      </c>
      <c r="D58" s="7" t="s">
        <v>24</v>
      </c>
      <c r="E58" s="8" t="n">
        <v>99874.01</v>
      </c>
      <c r="F58" s="7" t="n">
        <v>5887</v>
      </c>
      <c r="G58" s="7" t="n">
        <v>0.262</v>
      </c>
      <c r="H58" s="7" t="n">
        <v>14</v>
      </c>
      <c r="I58" s="7" t="n">
        <v>88.7</v>
      </c>
      <c r="J58" s="9" t="n">
        <v>6.18</v>
      </c>
      <c r="K58" s="7" t="n">
        <v>0</v>
      </c>
      <c r="L58" s="9" t="n">
        <v>4.7</v>
      </c>
      <c r="M58" s="8" t="n">
        <v>746677.75</v>
      </c>
      <c r="N58" s="8" t="n">
        <v>122437.84</v>
      </c>
    </row>
    <row r="59" customFormat="false" ht="15" hidden="false" customHeight="false" outlineLevel="0" collapsed="false">
      <c r="A59" s="4" t="s">
        <v>41</v>
      </c>
      <c r="B59" s="4" t="s">
        <v>21</v>
      </c>
      <c r="C59" s="4" t="s">
        <v>33</v>
      </c>
      <c r="D59" s="4" t="s">
        <v>24</v>
      </c>
      <c r="E59" s="5" t="n">
        <v>81195.5</v>
      </c>
      <c r="F59" s="4" t="n">
        <v>5516</v>
      </c>
      <c r="G59" s="4" t="n">
        <v>0.106</v>
      </c>
      <c r="H59" s="4" t="n">
        <v>14</v>
      </c>
      <c r="I59" s="4" t="n">
        <v>88</v>
      </c>
      <c r="J59" s="6" t="n">
        <v>1.76</v>
      </c>
      <c r="K59" s="4" t="n">
        <v>0</v>
      </c>
      <c r="L59" s="6" t="n">
        <v>4.3</v>
      </c>
      <c r="M59" s="5" t="n">
        <v>720852.5</v>
      </c>
      <c r="N59" s="5" t="n">
        <v>98565.62</v>
      </c>
    </row>
    <row r="60" customFormat="false" ht="15" hidden="false" customHeight="false" outlineLevel="0" collapsed="false">
      <c r="A60" s="7" t="s">
        <v>41</v>
      </c>
      <c r="B60" s="7" t="s">
        <v>22</v>
      </c>
      <c r="C60" s="7" t="s">
        <v>33</v>
      </c>
      <c r="D60" s="7" t="s">
        <v>24</v>
      </c>
      <c r="E60" s="8" t="n">
        <v>27808.6</v>
      </c>
      <c r="F60" s="7" t="n">
        <v>2863</v>
      </c>
      <c r="G60" s="7" t="n">
        <v>0.08</v>
      </c>
      <c r="H60" s="7" t="n">
        <v>13</v>
      </c>
      <c r="I60" s="7" t="n">
        <v>89.3</v>
      </c>
      <c r="J60" s="9" t="n">
        <v>0.47</v>
      </c>
      <c r="K60" s="7" t="n">
        <v>0</v>
      </c>
      <c r="L60" s="9" t="n">
        <v>4.1</v>
      </c>
      <c r="M60" s="8" t="n">
        <v>487464.91</v>
      </c>
      <c r="N60" s="8" t="n">
        <v>64562.26</v>
      </c>
    </row>
    <row r="61" customFormat="false" ht="15" hidden="false" customHeight="false" outlineLevel="0" collapsed="false">
      <c r="A61" s="4" t="s">
        <v>42</v>
      </c>
      <c r="B61" s="4" t="s">
        <v>17</v>
      </c>
      <c r="C61" s="4" t="s">
        <v>18</v>
      </c>
      <c r="D61" s="4" t="s">
        <v>27</v>
      </c>
      <c r="E61" s="5" t="n">
        <v>19365.06</v>
      </c>
      <c r="F61" s="4" t="n">
        <v>2378</v>
      </c>
      <c r="G61" s="4" t="n">
        <v>0</v>
      </c>
      <c r="H61" s="4" t="n">
        <v>12</v>
      </c>
      <c r="I61" s="4" t="n">
        <v>94.8</v>
      </c>
      <c r="J61" s="6" t="n">
        <v>0.2</v>
      </c>
      <c r="K61" s="4" t="n">
        <v>0</v>
      </c>
      <c r="L61" s="6" t="n">
        <v>3.5</v>
      </c>
      <c r="M61" s="5" t="n">
        <v>518049.26</v>
      </c>
      <c r="N61" s="5" t="n">
        <v>108592.49</v>
      </c>
    </row>
    <row r="62" customFormat="false" ht="15" hidden="false" customHeight="false" outlineLevel="0" collapsed="false">
      <c r="A62" s="7" t="s">
        <v>42</v>
      </c>
      <c r="B62" s="7" t="s">
        <v>20</v>
      </c>
      <c r="C62" s="7" t="s">
        <v>18</v>
      </c>
      <c r="D62" s="7" t="s">
        <v>27</v>
      </c>
      <c r="E62" s="8" t="n">
        <v>59405.68</v>
      </c>
      <c r="F62" s="7" t="n">
        <v>2515</v>
      </c>
      <c r="G62" s="7" t="n">
        <v>0.039</v>
      </c>
      <c r="H62" s="7" t="n">
        <v>12</v>
      </c>
      <c r="I62" s="7" t="n">
        <v>76</v>
      </c>
      <c r="J62" s="9" t="n">
        <v>5.11</v>
      </c>
      <c r="K62" s="7" t="n">
        <v>0</v>
      </c>
      <c r="L62" s="9" t="n">
        <v>3.7</v>
      </c>
      <c r="M62" s="8" t="n">
        <v>500298.48</v>
      </c>
      <c r="N62" s="8" t="n">
        <v>73461.32</v>
      </c>
    </row>
    <row r="63" customFormat="false" ht="15" hidden="false" customHeight="false" outlineLevel="0" collapsed="false">
      <c r="A63" s="4" t="s">
        <v>42</v>
      </c>
      <c r="B63" s="4" t="s">
        <v>21</v>
      </c>
      <c r="C63" s="4" t="s">
        <v>18</v>
      </c>
      <c r="D63" s="4" t="s">
        <v>27</v>
      </c>
      <c r="E63" s="5" t="n">
        <v>118910.48</v>
      </c>
      <c r="F63" s="4" t="n">
        <v>4022</v>
      </c>
      <c r="G63" s="4" t="n">
        <v>0.137</v>
      </c>
      <c r="H63" s="4" t="n">
        <v>11</v>
      </c>
      <c r="I63" s="4" t="n">
        <v>87.1</v>
      </c>
      <c r="J63" s="6" t="n">
        <v>0.2</v>
      </c>
      <c r="K63" s="4" t="n">
        <v>0</v>
      </c>
      <c r="L63" s="6" t="n">
        <v>3.1</v>
      </c>
      <c r="M63" s="5" t="n">
        <v>617291.15</v>
      </c>
      <c r="N63" s="5" t="n">
        <v>117782</v>
      </c>
    </row>
    <row r="64" customFormat="false" ht="15" hidden="false" customHeight="false" outlineLevel="0" collapsed="false">
      <c r="A64" s="7" t="s">
        <v>42</v>
      </c>
      <c r="B64" s="7" t="s">
        <v>22</v>
      </c>
      <c r="C64" s="7" t="s">
        <v>18</v>
      </c>
      <c r="D64" s="7" t="s">
        <v>27</v>
      </c>
      <c r="E64" s="8" t="n">
        <v>52952.12</v>
      </c>
      <c r="F64" s="7" t="n">
        <v>4377</v>
      </c>
      <c r="G64" s="7" t="n">
        <v>0.092</v>
      </c>
      <c r="H64" s="7" t="n">
        <v>14</v>
      </c>
      <c r="I64" s="7" t="n">
        <v>88.6</v>
      </c>
      <c r="J64" s="9" t="n">
        <v>13.59</v>
      </c>
      <c r="K64" s="7" t="n">
        <v>0</v>
      </c>
      <c r="L64" s="9" t="n">
        <v>3.1</v>
      </c>
      <c r="M64" s="8" t="n">
        <v>553756.43</v>
      </c>
      <c r="N64" s="8" t="n">
        <v>86166.77</v>
      </c>
    </row>
    <row r="65" customFormat="false" ht="15" hidden="false" customHeight="false" outlineLevel="0" collapsed="false">
      <c r="A65" s="4" t="s">
        <v>43</v>
      </c>
      <c r="B65" s="4" t="s">
        <v>17</v>
      </c>
      <c r="C65" s="4" t="s">
        <v>30</v>
      </c>
      <c r="D65" s="4" t="s">
        <v>24</v>
      </c>
      <c r="E65" s="5" t="n">
        <v>74907.98</v>
      </c>
      <c r="F65" s="4" t="n">
        <v>5306</v>
      </c>
      <c r="G65" s="4" t="n">
        <v>0.062</v>
      </c>
      <c r="H65" s="4" t="n">
        <v>16</v>
      </c>
      <c r="I65" s="4" t="n">
        <v>95.6</v>
      </c>
      <c r="J65" s="6" t="n">
        <v>1.02</v>
      </c>
      <c r="K65" s="4" t="n">
        <v>0</v>
      </c>
      <c r="L65" s="6" t="n">
        <v>3.7</v>
      </c>
      <c r="M65" s="5" t="n">
        <v>749559.71</v>
      </c>
      <c r="N65" s="5" t="n">
        <v>144522.53</v>
      </c>
    </row>
    <row r="66" customFormat="false" ht="15" hidden="false" customHeight="false" outlineLevel="0" collapsed="false">
      <c r="A66" s="7" t="s">
        <v>43</v>
      </c>
      <c r="B66" s="7" t="s">
        <v>20</v>
      </c>
      <c r="C66" s="7" t="s">
        <v>30</v>
      </c>
      <c r="D66" s="7" t="s">
        <v>24</v>
      </c>
      <c r="E66" s="8" t="n">
        <v>37284.66</v>
      </c>
      <c r="F66" s="7" t="n">
        <v>3928</v>
      </c>
      <c r="G66" s="7" t="n">
        <v>0.074</v>
      </c>
      <c r="H66" s="7" t="n">
        <v>12</v>
      </c>
      <c r="I66" s="7" t="n">
        <v>86.5</v>
      </c>
      <c r="J66" s="9" t="n">
        <v>1.64</v>
      </c>
      <c r="K66" s="7" t="n">
        <v>0</v>
      </c>
      <c r="L66" s="9" t="n">
        <v>3.8</v>
      </c>
      <c r="M66" s="8" t="n">
        <v>615966.48</v>
      </c>
      <c r="N66" s="8" t="n">
        <v>91509.38</v>
      </c>
    </row>
    <row r="67" customFormat="false" ht="15" hidden="false" customHeight="false" outlineLevel="0" collapsed="false">
      <c r="A67" s="4" t="s">
        <v>43</v>
      </c>
      <c r="B67" s="4" t="s">
        <v>21</v>
      </c>
      <c r="C67" s="4" t="s">
        <v>30</v>
      </c>
      <c r="D67" s="4" t="s">
        <v>24</v>
      </c>
      <c r="E67" s="5" t="n">
        <v>50343.19</v>
      </c>
      <c r="F67" s="4" t="n">
        <v>3845</v>
      </c>
      <c r="G67" s="4" t="n">
        <v>0.113</v>
      </c>
      <c r="H67" s="4" t="n">
        <v>9</v>
      </c>
      <c r="I67" s="4" t="n">
        <v>88.7</v>
      </c>
      <c r="J67" s="6" t="n">
        <v>5.15</v>
      </c>
      <c r="K67" s="4" t="n">
        <v>0</v>
      </c>
      <c r="L67" s="6" t="n">
        <v>3.3</v>
      </c>
      <c r="M67" s="5" t="n">
        <v>572011.2</v>
      </c>
      <c r="N67" s="5" t="n">
        <v>101409.68</v>
      </c>
    </row>
    <row r="68" customFormat="false" ht="15" hidden="false" customHeight="false" outlineLevel="0" collapsed="false">
      <c r="A68" s="7" t="s">
        <v>43</v>
      </c>
      <c r="B68" s="7" t="s">
        <v>22</v>
      </c>
      <c r="C68" s="7" t="s">
        <v>30</v>
      </c>
      <c r="D68" s="7" t="s">
        <v>24</v>
      </c>
      <c r="E68" s="8" t="n">
        <v>74954.47</v>
      </c>
      <c r="F68" s="7" t="n">
        <v>6620</v>
      </c>
      <c r="G68" s="7" t="n">
        <v>0.054</v>
      </c>
      <c r="H68" s="7" t="n">
        <v>17</v>
      </c>
      <c r="I68" s="7" t="n">
        <v>91.1</v>
      </c>
      <c r="J68" s="9" t="n">
        <v>1.11</v>
      </c>
      <c r="K68" s="7" t="n">
        <v>0</v>
      </c>
      <c r="L68" s="9" t="n">
        <v>3.5</v>
      </c>
      <c r="M68" s="8" t="n">
        <v>761860.19</v>
      </c>
      <c r="N68" s="8" t="n">
        <v>133279.38</v>
      </c>
    </row>
    <row r="69" customFormat="false" ht="15" hidden="false" customHeight="false" outlineLevel="0" collapsed="false">
      <c r="A69" s="4" t="s">
        <v>44</v>
      </c>
      <c r="B69" s="4" t="s">
        <v>17</v>
      </c>
      <c r="C69" s="4" t="s">
        <v>33</v>
      </c>
      <c r="D69" s="4" t="s">
        <v>24</v>
      </c>
      <c r="E69" s="5" t="n">
        <v>70040.31</v>
      </c>
      <c r="F69" s="4" t="n">
        <v>9175</v>
      </c>
      <c r="G69" s="4" t="n">
        <v>0.107</v>
      </c>
      <c r="H69" s="4" t="n">
        <v>23</v>
      </c>
      <c r="I69" s="4" t="n">
        <v>95.1</v>
      </c>
      <c r="J69" s="6" t="n">
        <v>6.08</v>
      </c>
      <c r="K69" s="4" t="n">
        <v>1</v>
      </c>
      <c r="L69" s="6" t="n">
        <v>3.4</v>
      </c>
      <c r="M69" s="5" t="n">
        <v>784502.68</v>
      </c>
      <c r="N69" s="5" t="n">
        <v>129519.72</v>
      </c>
    </row>
    <row r="70" customFormat="false" ht="15" hidden="false" customHeight="false" outlineLevel="0" collapsed="false">
      <c r="A70" s="7" t="s">
        <v>44</v>
      </c>
      <c r="B70" s="7" t="s">
        <v>20</v>
      </c>
      <c r="C70" s="7" t="s">
        <v>33</v>
      </c>
      <c r="D70" s="7" t="s">
        <v>24</v>
      </c>
      <c r="E70" s="8" t="n">
        <v>51148.69</v>
      </c>
      <c r="F70" s="7" t="n">
        <v>7940</v>
      </c>
      <c r="G70" s="7" t="n">
        <v>0.156</v>
      </c>
      <c r="H70" s="7" t="n">
        <v>18</v>
      </c>
      <c r="I70" s="7" t="n">
        <v>93.3</v>
      </c>
      <c r="J70" s="9" t="n">
        <v>10.91</v>
      </c>
      <c r="K70" s="7" t="n">
        <v>0</v>
      </c>
      <c r="L70" s="9" t="n">
        <v>3.6</v>
      </c>
      <c r="M70" s="8" t="n">
        <v>717141.55</v>
      </c>
      <c r="N70" s="8" t="n">
        <v>134013.61</v>
      </c>
    </row>
    <row r="71" customFormat="false" ht="15" hidden="false" customHeight="false" outlineLevel="0" collapsed="false">
      <c r="A71" s="4" t="s">
        <v>44</v>
      </c>
      <c r="B71" s="4" t="s">
        <v>21</v>
      </c>
      <c r="C71" s="4" t="s">
        <v>33</v>
      </c>
      <c r="D71" s="4" t="s">
        <v>24</v>
      </c>
      <c r="E71" s="5" t="n">
        <v>79346.1</v>
      </c>
      <c r="F71" s="4" t="n">
        <v>9628</v>
      </c>
      <c r="G71" s="4" t="n">
        <v>0.102</v>
      </c>
      <c r="H71" s="4" t="n">
        <v>20</v>
      </c>
      <c r="I71" s="4" t="n">
        <v>99</v>
      </c>
      <c r="J71" s="6" t="n">
        <v>19.01</v>
      </c>
      <c r="K71" s="4" t="n">
        <v>1</v>
      </c>
      <c r="L71" s="6" t="n">
        <v>3.2</v>
      </c>
      <c r="M71" s="5" t="n">
        <v>685379.08</v>
      </c>
      <c r="N71" s="5" t="n">
        <v>106898.82</v>
      </c>
    </row>
    <row r="72" customFormat="false" ht="15" hidden="false" customHeight="false" outlineLevel="0" collapsed="false">
      <c r="A72" s="7" t="s">
        <v>44</v>
      </c>
      <c r="B72" s="7" t="s">
        <v>22</v>
      </c>
      <c r="C72" s="7" t="s">
        <v>33</v>
      </c>
      <c r="D72" s="7" t="s">
        <v>24</v>
      </c>
      <c r="E72" s="8" t="n">
        <v>42018.4</v>
      </c>
      <c r="F72" s="7" t="n">
        <v>8296</v>
      </c>
      <c r="G72" s="7" t="n">
        <v>0.115</v>
      </c>
      <c r="H72" s="7" t="n">
        <v>17</v>
      </c>
      <c r="I72" s="7" t="n">
        <v>91.8</v>
      </c>
      <c r="J72" s="9" t="n">
        <v>0.77</v>
      </c>
      <c r="K72" s="7" t="n">
        <v>0</v>
      </c>
      <c r="L72" s="9" t="n">
        <v>3.4</v>
      </c>
      <c r="M72" s="8" t="n">
        <v>740496.65</v>
      </c>
      <c r="N72" s="8" t="n">
        <v>128020.9</v>
      </c>
    </row>
    <row r="73" customFormat="false" ht="15" hidden="false" customHeight="false" outlineLevel="0" collapsed="false">
      <c r="A73" s="4" t="s">
        <v>45</v>
      </c>
      <c r="B73" s="4" t="s">
        <v>17</v>
      </c>
      <c r="C73" s="4" t="s">
        <v>18</v>
      </c>
      <c r="D73" s="4" t="s">
        <v>24</v>
      </c>
      <c r="E73" s="5" t="n">
        <v>70937.24</v>
      </c>
      <c r="F73" s="4" t="n">
        <v>3595</v>
      </c>
      <c r="G73" s="4" t="n">
        <v>0.141</v>
      </c>
      <c r="H73" s="4" t="n">
        <v>11</v>
      </c>
      <c r="I73" s="4" t="n">
        <v>88.9</v>
      </c>
      <c r="J73" s="6" t="n">
        <v>2.83</v>
      </c>
      <c r="K73" s="4" t="n">
        <v>1</v>
      </c>
      <c r="L73" s="6" t="n">
        <v>3.3</v>
      </c>
      <c r="M73" s="5" t="n">
        <v>661927.14</v>
      </c>
      <c r="N73" s="5" t="n">
        <v>79218.57</v>
      </c>
    </row>
    <row r="74" customFormat="false" ht="15" hidden="false" customHeight="false" outlineLevel="0" collapsed="false">
      <c r="A74" s="7" t="s">
        <v>45</v>
      </c>
      <c r="B74" s="7" t="s">
        <v>20</v>
      </c>
      <c r="C74" s="7" t="s">
        <v>18</v>
      </c>
      <c r="D74" s="7" t="s">
        <v>24</v>
      </c>
      <c r="E74" s="8" t="n">
        <v>36813.45</v>
      </c>
      <c r="F74" s="7" t="n">
        <v>2834</v>
      </c>
      <c r="G74" s="7" t="n">
        <v>0.191</v>
      </c>
      <c r="H74" s="7" t="n">
        <v>11</v>
      </c>
      <c r="I74" s="7" t="n">
        <v>81.8</v>
      </c>
      <c r="J74" s="9" t="n">
        <v>2.33</v>
      </c>
      <c r="K74" s="7" t="n">
        <v>0</v>
      </c>
      <c r="L74" s="9" t="n">
        <v>3.3</v>
      </c>
      <c r="M74" s="8" t="n">
        <v>479050.5</v>
      </c>
      <c r="N74" s="8" t="n">
        <v>53651.11</v>
      </c>
    </row>
    <row r="75" customFormat="false" ht="15" hidden="false" customHeight="false" outlineLevel="0" collapsed="false">
      <c r="A75" s="4" t="s">
        <v>45</v>
      </c>
      <c r="B75" s="4" t="s">
        <v>21</v>
      </c>
      <c r="C75" s="4" t="s">
        <v>18</v>
      </c>
      <c r="D75" s="4" t="s">
        <v>24</v>
      </c>
      <c r="E75" s="5" t="n">
        <v>60571.82</v>
      </c>
      <c r="F75" s="4" t="n">
        <v>3193</v>
      </c>
      <c r="G75" s="4" t="n">
        <v>0.197</v>
      </c>
      <c r="H75" s="4" t="n">
        <v>7</v>
      </c>
      <c r="I75" s="4" t="n">
        <v>99</v>
      </c>
      <c r="J75" s="6" t="n">
        <v>1.43</v>
      </c>
      <c r="K75" s="4" t="n">
        <v>0</v>
      </c>
      <c r="L75" s="6" t="n">
        <v>3.2</v>
      </c>
      <c r="M75" s="5" t="n">
        <v>605023.87</v>
      </c>
      <c r="N75" s="5" t="n">
        <v>98545.81</v>
      </c>
    </row>
    <row r="76" customFormat="false" ht="15" hidden="false" customHeight="false" outlineLevel="0" collapsed="false">
      <c r="A76" s="7" t="s">
        <v>45</v>
      </c>
      <c r="B76" s="7" t="s">
        <v>22</v>
      </c>
      <c r="C76" s="7" t="s">
        <v>18</v>
      </c>
      <c r="D76" s="7" t="s">
        <v>24</v>
      </c>
      <c r="E76" s="8" t="n">
        <v>55081.16</v>
      </c>
      <c r="F76" s="7" t="n">
        <v>5485</v>
      </c>
      <c r="G76" s="7" t="n">
        <v>0.036</v>
      </c>
      <c r="H76" s="7" t="n">
        <v>12</v>
      </c>
      <c r="I76" s="7" t="n">
        <v>88</v>
      </c>
      <c r="J76" s="9"/>
      <c r="K76" s="7" t="n">
        <v>0</v>
      </c>
      <c r="L76" s="9" t="n">
        <v>3.5</v>
      </c>
      <c r="M76" s="8" t="n">
        <v>674774.09</v>
      </c>
      <c r="N76" s="8" t="n">
        <v>141917.59</v>
      </c>
    </row>
    <row r="77" customFormat="false" ht="15" hidden="false" customHeight="false" outlineLevel="0" collapsed="false">
      <c r="A77" s="4" t="s">
        <v>46</v>
      </c>
      <c r="B77" s="4" t="s">
        <v>17</v>
      </c>
      <c r="C77" s="4" t="s">
        <v>18</v>
      </c>
      <c r="D77" s="4" t="s">
        <v>19</v>
      </c>
      <c r="E77" s="5" t="n">
        <v>46201.46</v>
      </c>
      <c r="F77" s="4" t="n">
        <v>5918</v>
      </c>
      <c r="G77" s="4" t="n">
        <v>0.277</v>
      </c>
      <c r="H77" s="4" t="n">
        <v>13</v>
      </c>
      <c r="I77" s="4" t="n">
        <v>78.8</v>
      </c>
      <c r="J77" s="6" t="n">
        <v>4.91</v>
      </c>
      <c r="K77" s="4" t="n">
        <v>0</v>
      </c>
      <c r="L77" s="6" t="n">
        <v>4.5</v>
      </c>
      <c r="M77" s="5" t="n">
        <v>616069.41</v>
      </c>
      <c r="N77" s="5" t="n">
        <v>54453.99</v>
      </c>
    </row>
    <row r="78" customFormat="false" ht="15" hidden="false" customHeight="false" outlineLevel="0" collapsed="false">
      <c r="A78" s="7" t="s">
        <v>46</v>
      </c>
      <c r="B78" s="7" t="s">
        <v>20</v>
      </c>
      <c r="C78" s="7" t="s">
        <v>18</v>
      </c>
      <c r="D78" s="7" t="s">
        <v>19</v>
      </c>
      <c r="E78" s="8" t="n">
        <v>53762.92</v>
      </c>
      <c r="F78" s="7" t="n">
        <v>6821</v>
      </c>
      <c r="G78" s="7" t="n">
        <v>0.066</v>
      </c>
      <c r="H78" s="7" t="n">
        <v>19</v>
      </c>
      <c r="I78" s="7" t="n">
        <v>94.6</v>
      </c>
      <c r="J78" s="9" t="n">
        <v>7.03</v>
      </c>
      <c r="K78" s="7" t="n">
        <v>0</v>
      </c>
      <c r="L78" s="9" t="n">
        <v>4.4</v>
      </c>
      <c r="M78" s="8" t="n">
        <v>630829.94</v>
      </c>
      <c r="N78" s="8" t="n">
        <v>117090.02</v>
      </c>
    </row>
    <row r="79" customFormat="false" ht="15" hidden="false" customHeight="false" outlineLevel="0" collapsed="false">
      <c r="A79" s="4" t="s">
        <v>46</v>
      </c>
      <c r="B79" s="4" t="s">
        <v>21</v>
      </c>
      <c r="C79" s="4" t="s">
        <v>18</v>
      </c>
      <c r="D79" s="4" t="s">
        <v>19</v>
      </c>
      <c r="E79" s="5" t="n">
        <v>70144.78</v>
      </c>
      <c r="F79" s="4" t="n">
        <v>6806</v>
      </c>
      <c r="G79" s="4" t="n">
        <v>0.178</v>
      </c>
      <c r="H79" s="4" t="n">
        <v>20</v>
      </c>
      <c r="I79" s="4" t="n">
        <v>93.1</v>
      </c>
      <c r="J79" s="6" t="n">
        <v>0.28</v>
      </c>
      <c r="K79" s="4" t="n">
        <v>1</v>
      </c>
      <c r="L79" s="6" t="n">
        <v>4.3</v>
      </c>
      <c r="M79" s="5" t="n">
        <v>788087.68</v>
      </c>
      <c r="N79" s="5" t="n">
        <v>116803.42</v>
      </c>
    </row>
    <row r="80" customFormat="false" ht="15" hidden="false" customHeight="false" outlineLevel="0" collapsed="false">
      <c r="A80" s="7" t="s">
        <v>46</v>
      </c>
      <c r="B80" s="7" t="s">
        <v>22</v>
      </c>
      <c r="C80" s="7" t="s">
        <v>18</v>
      </c>
      <c r="D80" s="7" t="s">
        <v>19</v>
      </c>
      <c r="E80" s="8" t="n">
        <v>58749.63</v>
      </c>
      <c r="F80" s="7" t="n">
        <v>8252</v>
      </c>
      <c r="G80" s="7" t="n">
        <v>0.203</v>
      </c>
      <c r="H80" s="7" t="n">
        <v>20</v>
      </c>
      <c r="I80" s="7" t="n">
        <v>85.2</v>
      </c>
      <c r="J80" s="9" t="n">
        <v>3.61</v>
      </c>
      <c r="K80" s="7" t="n">
        <v>0</v>
      </c>
      <c r="L80" s="9" t="n">
        <v>4.5</v>
      </c>
      <c r="M80" s="8" t="n">
        <v>680840.36</v>
      </c>
      <c r="N80" s="8" t="n">
        <v>68007.68</v>
      </c>
    </row>
    <row r="81" customFormat="false" ht="15" hidden="false" customHeight="false" outlineLevel="0" collapsed="false">
      <c r="A81" s="4" t="s">
        <v>47</v>
      </c>
      <c r="B81" s="4" t="s">
        <v>17</v>
      </c>
      <c r="C81" s="4" t="s">
        <v>30</v>
      </c>
      <c r="D81" s="4" t="s">
        <v>24</v>
      </c>
      <c r="E81" s="5" t="n">
        <v>56973.18</v>
      </c>
      <c r="F81" s="4" t="n">
        <v>6662</v>
      </c>
      <c r="G81" s="4" t="n">
        <v>0.1</v>
      </c>
      <c r="H81" s="4" t="n">
        <v>15</v>
      </c>
      <c r="I81" s="4" t="n">
        <v>77.7</v>
      </c>
      <c r="J81" s="6" t="n">
        <v>7.52</v>
      </c>
      <c r="K81" s="4" t="n">
        <v>1</v>
      </c>
      <c r="L81" s="6" t="n">
        <v>3.2</v>
      </c>
      <c r="M81" s="5" t="n">
        <v>643657.47</v>
      </c>
      <c r="N81" s="5" t="n">
        <v>87022.45</v>
      </c>
    </row>
    <row r="82" customFormat="false" ht="15" hidden="false" customHeight="false" outlineLevel="0" collapsed="false">
      <c r="A82" s="7" t="s">
        <v>47</v>
      </c>
      <c r="B82" s="7" t="s">
        <v>20</v>
      </c>
      <c r="C82" s="7" t="s">
        <v>30</v>
      </c>
      <c r="D82" s="7" t="s">
        <v>24</v>
      </c>
      <c r="E82" s="8" t="n">
        <v>54872.82</v>
      </c>
      <c r="F82" s="7" t="n">
        <v>5962</v>
      </c>
      <c r="G82" s="7" t="n">
        <v>0.064</v>
      </c>
      <c r="H82" s="7" t="n">
        <v>12</v>
      </c>
      <c r="I82" s="7" t="n">
        <v>85.4</v>
      </c>
      <c r="J82" s="9" t="n">
        <v>2.58</v>
      </c>
      <c r="K82" s="7" t="n">
        <v>0</v>
      </c>
      <c r="L82" s="9" t="n">
        <v>2.9</v>
      </c>
      <c r="M82" s="8" t="n">
        <v>691112.6</v>
      </c>
      <c r="N82" s="8" t="n">
        <v>109212.83</v>
      </c>
    </row>
    <row r="83" customFormat="false" ht="15" hidden="false" customHeight="false" outlineLevel="0" collapsed="false">
      <c r="A83" s="4" t="s">
        <v>47</v>
      </c>
      <c r="B83" s="4" t="s">
        <v>21</v>
      </c>
      <c r="C83" s="4" t="s">
        <v>30</v>
      </c>
      <c r="D83" s="4" t="s">
        <v>24</v>
      </c>
      <c r="E83" s="5" t="n">
        <v>80562.81</v>
      </c>
      <c r="F83" s="4" t="n">
        <v>7470</v>
      </c>
      <c r="G83" s="4" t="n">
        <v>0.172</v>
      </c>
      <c r="H83" s="4" t="n">
        <v>16</v>
      </c>
      <c r="I83" s="4" t="n">
        <v>83.5</v>
      </c>
      <c r="J83" s="6" t="n">
        <v>2.29</v>
      </c>
      <c r="K83" s="4" t="n">
        <v>0</v>
      </c>
      <c r="L83" s="6" t="n">
        <v>3.3</v>
      </c>
      <c r="M83" s="5" t="n">
        <v>776922.17</v>
      </c>
      <c r="N83" s="5" t="n">
        <v>150701.93</v>
      </c>
    </row>
    <row r="84" customFormat="false" ht="15" hidden="false" customHeight="false" outlineLevel="0" collapsed="false">
      <c r="A84" s="7" t="s">
        <v>47</v>
      </c>
      <c r="B84" s="7" t="s">
        <v>22</v>
      </c>
      <c r="C84" s="7" t="s">
        <v>30</v>
      </c>
      <c r="D84" s="7" t="s">
        <v>24</v>
      </c>
      <c r="E84" s="8" t="n">
        <v>77999.9</v>
      </c>
      <c r="F84" s="7" t="n">
        <v>5974</v>
      </c>
      <c r="G84" s="7" t="n">
        <v>0.252</v>
      </c>
      <c r="H84" s="7" t="n">
        <v>14</v>
      </c>
      <c r="I84" s="7" t="n">
        <v>81.3</v>
      </c>
      <c r="J84" s="9" t="n">
        <v>2.39</v>
      </c>
      <c r="K84" s="7" t="n">
        <v>0</v>
      </c>
      <c r="L84" s="9" t="n">
        <v>3.2</v>
      </c>
      <c r="M84" s="8" t="n">
        <v>636561.34</v>
      </c>
      <c r="N84" s="8" t="n">
        <v>93861.06</v>
      </c>
    </row>
    <row r="85" customFormat="false" ht="15" hidden="false" customHeight="false" outlineLevel="0" collapsed="false">
      <c r="A85" s="4" t="s">
        <v>48</v>
      </c>
      <c r="B85" s="4" t="s">
        <v>17</v>
      </c>
      <c r="C85" s="4" t="s">
        <v>33</v>
      </c>
      <c r="D85" s="4" t="s">
        <v>34</v>
      </c>
      <c r="E85" s="5" t="n">
        <v>60881.01</v>
      </c>
      <c r="F85" s="4" t="n">
        <v>5410</v>
      </c>
      <c r="G85" s="4" t="n">
        <v>0.179</v>
      </c>
      <c r="H85" s="4" t="n">
        <v>15</v>
      </c>
      <c r="I85" s="4" t="n">
        <v>83.9</v>
      </c>
      <c r="J85" s="6" t="n">
        <v>5.24</v>
      </c>
      <c r="K85" s="4" t="n">
        <v>0</v>
      </c>
      <c r="L85" s="6" t="n">
        <v>4.6</v>
      </c>
      <c r="M85" s="5" t="n">
        <v>621369.58</v>
      </c>
      <c r="N85" s="5" t="n">
        <v>85493.64</v>
      </c>
    </row>
    <row r="86" customFormat="false" ht="15" hidden="false" customHeight="false" outlineLevel="0" collapsed="false">
      <c r="A86" s="7" t="s">
        <v>48</v>
      </c>
      <c r="B86" s="7" t="s">
        <v>20</v>
      </c>
      <c r="C86" s="7" t="s">
        <v>33</v>
      </c>
      <c r="D86" s="7" t="s">
        <v>34</v>
      </c>
      <c r="E86" s="8" t="n">
        <v>60628.38</v>
      </c>
      <c r="F86" s="7" t="n">
        <v>4451</v>
      </c>
      <c r="G86" s="7" t="n">
        <v>0.095</v>
      </c>
      <c r="H86" s="7" t="n">
        <v>10</v>
      </c>
      <c r="I86" s="7" t="n">
        <v>89.6</v>
      </c>
      <c r="J86" s="9" t="n">
        <v>3.17</v>
      </c>
      <c r="K86" s="7" t="n">
        <v>0</v>
      </c>
      <c r="L86" s="9" t="n">
        <v>4.6</v>
      </c>
      <c r="M86" s="8" t="n">
        <v>682208.01</v>
      </c>
      <c r="N86" s="8" t="n">
        <v>110318.84</v>
      </c>
    </row>
    <row r="87" customFormat="false" ht="15" hidden="false" customHeight="false" outlineLevel="0" collapsed="false">
      <c r="A87" s="4" t="s">
        <v>48</v>
      </c>
      <c r="B87" s="4" t="s">
        <v>21</v>
      </c>
      <c r="C87" s="4" t="s">
        <v>33</v>
      </c>
      <c r="D87" s="4" t="s">
        <v>34</v>
      </c>
      <c r="E87" s="5" t="n">
        <v>72731.14</v>
      </c>
      <c r="F87" s="4" t="n">
        <v>4644</v>
      </c>
      <c r="G87" s="4" t="n">
        <v>0.084</v>
      </c>
      <c r="H87" s="4" t="n">
        <v>15</v>
      </c>
      <c r="I87" s="4" t="n">
        <v>87.1</v>
      </c>
      <c r="J87" s="6" t="n">
        <v>2.66</v>
      </c>
      <c r="K87" s="4" t="n">
        <v>0</v>
      </c>
      <c r="L87" s="6" t="n">
        <v>4.6</v>
      </c>
      <c r="M87" s="5" t="n">
        <v>727241.86</v>
      </c>
      <c r="N87" s="5" t="n">
        <v>155810.3</v>
      </c>
    </row>
    <row r="88" customFormat="false" ht="15" hidden="false" customHeight="false" outlineLevel="0" collapsed="false">
      <c r="A88" s="7" t="s">
        <v>48</v>
      </c>
      <c r="B88" s="7" t="s">
        <v>22</v>
      </c>
      <c r="C88" s="7" t="s">
        <v>33</v>
      </c>
      <c r="D88" s="7" t="s">
        <v>34</v>
      </c>
      <c r="E88" s="8" t="n">
        <v>36475.71</v>
      </c>
      <c r="F88" s="7" t="n">
        <v>3559</v>
      </c>
      <c r="G88" s="7" t="n">
        <v>0.03</v>
      </c>
      <c r="H88" s="7" t="n">
        <v>8</v>
      </c>
      <c r="I88" s="7" t="n">
        <v>83.6</v>
      </c>
      <c r="J88" s="9" t="n">
        <v>1.41</v>
      </c>
      <c r="K88" s="7" t="n">
        <v>0</v>
      </c>
      <c r="L88" s="9" t="n">
        <v>4.2</v>
      </c>
      <c r="M88" s="8" t="n">
        <v>569100.78</v>
      </c>
      <c r="N88" s="8" t="n">
        <v>104808.78</v>
      </c>
    </row>
    <row r="89" customFormat="false" ht="15" hidden="false" customHeight="false" outlineLevel="0" collapsed="false">
      <c r="A89" s="4" t="s">
        <v>49</v>
      </c>
      <c r="B89" s="4" t="s">
        <v>17</v>
      </c>
      <c r="C89" s="4" t="s">
        <v>33</v>
      </c>
      <c r="D89" s="4" t="s">
        <v>24</v>
      </c>
      <c r="E89" s="5" t="n">
        <v>55388.11</v>
      </c>
      <c r="F89" s="4" t="n">
        <v>3091</v>
      </c>
      <c r="G89" s="4" t="n">
        <v>0.108</v>
      </c>
      <c r="H89" s="4" t="n">
        <v>7</v>
      </c>
      <c r="I89" s="4" t="n">
        <v>85.4</v>
      </c>
      <c r="J89" s="6" t="n">
        <v>7.34</v>
      </c>
      <c r="K89" s="4" t="n">
        <v>0</v>
      </c>
      <c r="L89" s="6" t="n">
        <v>4.9</v>
      </c>
      <c r="M89" s="5" t="n">
        <v>574436.29</v>
      </c>
      <c r="N89" s="5" t="n">
        <v>80271.99</v>
      </c>
    </row>
    <row r="90" customFormat="false" ht="15" hidden="false" customHeight="false" outlineLevel="0" collapsed="false">
      <c r="A90" s="7" t="s">
        <v>49</v>
      </c>
      <c r="B90" s="7" t="s">
        <v>20</v>
      </c>
      <c r="C90" s="7" t="s">
        <v>33</v>
      </c>
      <c r="D90" s="7" t="s">
        <v>24</v>
      </c>
      <c r="E90" s="8" t="n">
        <v>88443.77</v>
      </c>
      <c r="F90" s="7" t="n">
        <v>4004</v>
      </c>
      <c r="G90" s="7" t="n">
        <v>0.206</v>
      </c>
      <c r="H90" s="7" t="n">
        <v>11</v>
      </c>
      <c r="I90" s="7" t="n">
        <v>91.9</v>
      </c>
      <c r="J90" s="9" t="n">
        <v>5.95</v>
      </c>
      <c r="K90" s="7" t="n">
        <v>0</v>
      </c>
      <c r="L90" s="9"/>
      <c r="M90" s="8" t="n">
        <v>611766.72</v>
      </c>
      <c r="N90" s="8" t="n">
        <v>88275.61</v>
      </c>
    </row>
    <row r="91" customFormat="false" ht="15" hidden="false" customHeight="false" outlineLevel="0" collapsed="false">
      <c r="A91" s="4" t="s">
        <v>49</v>
      </c>
      <c r="B91" s="4" t="s">
        <v>21</v>
      </c>
      <c r="C91" s="4" t="s">
        <v>33</v>
      </c>
      <c r="D91" s="4" t="s">
        <v>24</v>
      </c>
      <c r="E91" s="5" t="n">
        <v>78231.91</v>
      </c>
      <c r="F91" s="4" t="n">
        <v>3788</v>
      </c>
      <c r="G91" s="4" t="n">
        <v>0.059</v>
      </c>
      <c r="H91" s="4" t="n">
        <v>11</v>
      </c>
      <c r="I91" s="4" t="n">
        <v>88.5</v>
      </c>
      <c r="J91" s="6" t="n">
        <v>15.51</v>
      </c>
      <c r="K91" s="4" t="n">
        <v>0</v>
      </c>
      <c r="L91" s="6" t="n">
        <v>4.3</v>
      </c>
      <c r="M91" s="5" t="n">
        <v>614596.32</v>
      </c>
      <c r="N91" s="5" t="n">
        <v>131199.41</v>
      </c>
    </row>
    <row r="92" customFormat="false" ht="15" hidden="false" customHeight="false" outlineLevel="0" collapsed="false">
      <c r="A92" s="7" t="s">
        <v>49</v>
      </c>
      <c r="B92" s="7" t="s">
        <v>22</v>
      </c>
      <c r="C92" s="7" t="s">
        <v>33</v>
      </c>
      <c r="D92" s="7" t="s">
        <v>24</v>
      </c>
      <c r="E92" s="8" t="n">
        <v>18996.32</v>
      </c>
      <c r="F92" s="7" t="n">
        <v>1260</v>
      </c>
      <c r="G92" s="7" t="n">
        <v>0.145</v>
      </c>
      <c r="H92" s="7" t="n">
        <v>9</v>
      </c>
      <c r="I92" s="7" t="n">
        <v>86.4</v>
      </c>
      <c r="J92" s="9" t="n">
        <v>4.31</v>
      </c>
      <c r="K92" s="7" t="n">
        <v>0</v>
      </c>
      <c r="L92" s="9" t="n">
        <v>4.6</v>
      </c>
      <c r="M92" s="8" t="n">
        <v>450711.92</v>
      </c>
      <c r="N92" s="8" t="n">
        <v>90043.76</v>
      </c>
    </row>
    <row r="93" customFormat="false" ht="15" hidden="false" customHeight="false" outlineLevel="0" collapsed="false">
      <c r="A93" s="4" t="s">
        <v>50</v>
      </c>
      <c r="B93" s="4" t="s">
        <v>17</v>
      </c>
      <c r="C93" s="4" t="s">
        <v>30</v>
      </c>
      <c r="D93" s="4" t="s">
        <v>34</v>
      </c>
      <c r="E93" s="5" t="n">
        <v>50517.94</v>
      </c>
      <c r="F93" s="4" t="n">
        <v>7024</v>
      </c>
      <c r="G93" s="4" t="n">
        <v>0.029</v>
      </c>
      <c r="H93" s="4" t="n">
        <v>18</v>
      </c>
      <c r="I93" s="4" t="n">
        <v>79.2</v>
      </c>
      <c r="J93" s="6" t="n">
        <v>6.61</v>
      </c>
      <c r="K93" s="4" t="n">
        <v>1</v>
      </c>
      <c r="L93" s="6" t="n">
        <v>4.1</v>
      </c>
      <c r="M93" s="5" t="n">
        <v>711213.46</v>
      </c>
      <c r="N93" s="5" t="n">
        <v>105863.26</v>
      </c>
    </row>
    <row r="94" customFormat="false" ht="15" hidden="false" customHeight="false" outlineLevel="0" collapsed="false">
      <c r="A94" s="7" t="s">
        <v>50</v>
      </c>
      <c r="B94" s="7" t="s">
        <v>20</v>
      </c>
      <c r="C94" s="7" t="s">
        <v>30</v>
      </c>
      <c r="D94" s="7" t="s">
        <v>34</v>
      </c>
      <c r="E94" s="8" t="n">
        <v>141540.29</v>
      </c>
      <c r="F94" s="7" t="n">
        <v>5400</v>
      </c>
      <c r="G94" s="7" t="n">
        <v>0.013</v>
      </c>
      <c r="H94" s="7" t="n">
        <v>12</v>
      </c>
      <c r="I94" s="7" t="n">
        <v>87</v>
      </c>
      <c r="J94" s="9" t="n">
        <v>4.26</v>
      </c>
      <c r="K94" s="7" t="n">
        <v>0</v>
      </c>
      <c r="L94" s="9" t="n">
        <v>4.5</v>
      </c>
      <c r="M94" s="8" t="n">
        <v>627171.9</v>
      </c>
      <c r="N94" s="8" t="n">
        <v>105772.75</v>
      </c>
    </row>
    <row r="95" customFormat="false" ht="15" hidden="false" customHeight="false" outlineLevel="0" collapsed="false">
      <c r="A95" s="4" t="s">
        <v>50</v>
      </c>
      <c r="B95" s="4" t="s">
        <v>21</v>
      </c>
      <c r="C95" s="4" t="s">
        <v>30</v>
      </c>
      <c r="D95" s="4" t="s">
        <v>34</v>
      </c>
      <c r="E95" s="5" t="n">
        <v>82116.19</v>
      </c>
      <c r="F95" s="4" t="n">
        <v>5988</v>
      </c>
      <c r="G95" s="4" t="n">
        <v>0.04</v>
      </c>
      <c r="H95" s="4" t="n">
        <v>17</v>
      </c>
      <c r="I95" s="4" t="n">
        <v>91.8</v>
      </c>
      <c r="J95" s="6" t="n">
        <v>5.75</v>
      </c>
      <c r="K95" s="4" t="n">
        <v>0</v>
      </c>
      <c r="L95" s="6" t="n">
        <v>4.7</v>
      </c>
      <c r="M95" s="5" t="n">
        <v>739852.58</v>
      </c>
      <c r="N95" s="5" t="n">
        <v>129386.43</v>
      </c>
    </row>
    <row r="96" customFormat="false" ht="15" hidden="false" customHeight="false" outlineLevel="0" collapsed="false">
      <c r="A96" s="7" t="s">
        <v>50</v>
      </c>
      <c r="B96" s="7" t="s">
        <v>22</v>
      </c>
      <c r="C96" s="7" t="s">
        <v>30</v>
      </c>
      <c r="D96" s="7" t="s">
        <v>34</v>
      </c>
      <c r="E96" s="8" t="n">
        <v>31207.51</v>
      </c>
      <c r="F96" s="7" t="n">
        <v>3701</v>
      </c>
      <c r="G96" s="7" t="n">
        <v>0.043</v>
      </c>
      <c r="H96" s="7" t="n">
        <v>11</v>
      </c>
      <c r="I96" s="7" t="n">
        <v>84.7</v>
      </c>
      <c r="J96" s="9" t="n">
        <v>0.33</v>
      </c>
      <c r="K96" s="7" t="n">
        <v>0</v>
      </c>
      <c r="L96" s="9" t="n">
        <v>4.3</v>
      </c>
      <c r="M96" s="8" t="n">
        <v>586307.22</v>
      </c>
      <c r="N96" s="8" t="n">
        <v>73927.85</v>
      </c>
    </row>
    <row r="97" customFormat="false" ht="15" hidden="false" customHeight="false" outlineLevel="0" collapsed="false">
      <c r="A97" s="4" t="s">
        <v>51</v>
      </c>
      <c r="B97" s="4" t="s">
        <v>17</v>
      </c>
      <c r="C97" s="4" t="s">
        <v>33</v>
      </c>
      <c r="D97" s="4" t="s">
        <v>19</v>
      </c>
      <c r="E97" s="5" t="n">
        <v>38966.59</v>
      </c>
      <c r="F97" s="4" t="n">
        <v>4509</v>
      </c>
      <c r="G97" s="4" t="n">
        <v>0.194</v>
      </c>
      <c r="H97" s="4" t="n">
        <v>14</v>
      </c>
      <c r="I97" s="4" t="n">
        <v>91.1</v>
      </c>
      <c r="J97" s="6" t="n">
        <v>2.92</v>
      </c>
      <c r="K97" s="4" t="n">
        <v>0</v>
      </c>
      <c r="L97" s="6" t="n">
        <v>4.6</v>
      </c>
      <c r="M97" s="5" t="n">
        <v>585937.48</v>
      </c>
      <c r="N97" s="5" t="n">
        <v>82624.2</v>
      </c>
    </row>
    <row r="98" customFormat="false" ht="15" hidden="false" customHeight="false" outlineLevel="0" collapsed="false">
      <c r="A98" s="7" t="s">
        <v>51</v>
      </c>
      <c r="B98" s="7" t="s">
        <v>20</v>
      </c>
      <c r="C98" s="7" t="s">
        <v>33</v>
      </c>
      <c r="D98" s="7" t="s">
        <v>19</v>
      </c>
      <c r="E98" s="8" t="n">
        <v>67439.3</v>
      </c>
      <c r="F98" s="7" t="n">
        <v>6477</v>
      </c>
      <c r="G98" s="7" t="n">
        <v>0</v>
      </c>
      <c r="H98" s="7" t="n">
        <v>16</v>
      </c>
      <c r="I98" s="7" t="n">
        <v>90.9</v>
      </c>
      <c r="J98" s="9" t="n">
        <v>1.64</v>
      </c>
      <c r="K98" s="7" t="n">
        <v>0</v>
      </c>
      <c r="L98" s="9" t="n">
        <v>4.5</v>
      </c>
      <c r="M98" s="8" t="n">
        <v>753473.55</v>
      </c>
      <c r="N98" s="8" t="n">
        <v>151527.22</v>
      </c>
    </row>
    <row r="99" customFormat="false" ht="15" hidden="false" customHeight="false" outlineLevel="0" collapsed="false">
      <c r="A99" s="4" t="s">
        <v>51</v>
      </c>
      <c r="B99" s="4" t="s">
        <v>21</v>
      </c>
      <c r="C99" s="4" t="s">
        <v>33</v>
      </c>
      <c r="D99" s="4" t="s">
        <v>19</v>
      </c>
      <c r="E99" s="5" t="n">
        <v>86421.88</v>
      </c>
      <c r="F99" s="4" t="n">
        <v>7970</v>
      </c>
      <c r="G99" s="4" t="n">
        <v>0.073</v>
      </c>
      <c r="H99" s="4" t="n">
        <v>17</v>
      </c>
      <c r="I99" s="4" t="n">
        <v>91.3</v>
      </c>
      <c r="J99" s="6" t="n">
        <v>0.8</v>
      </c>
      <c r="K99" s="4" t="n">
        <v>0</v>
      </c>
      <c r="L99" s="6" t="n">
        <v>5</v>
      </c>
      <c r="M99" s="5" t="n">
        <v>838250.32</v>
      </c>
      <c r="N99" s="5" t="n">
        <v>122939.34</v>
      </c>
    </row>
    <row r="100" customFormat="false" ht="15" hidden="false" customHeight="false" outlineLevel="0" collapsed="false">
      <c r="A100" s="7" t="s">
        <v>51</v>
      </c>
      <c r="B100" s="7" t="s">
        <v>22</v>
      </c>
      <c r="C100" s="7" t="s">
        <v>33</v>
      </c>
      <c r="D100" s="7" t="s">
        <v>19</v>
      </c>
      <c r="E100" s="8" t="n">
        <v>9534.65</v>
      </c>
      <c r="F100" s="7" t="n">
        <v>6057</v>
      </c>
      <c r="G100" s="7" t="n">
        <v>0.074</v>
      </c>
      <c r="H100" s="7" t="n">
        <v>15</v>
      </c>
      <c r="I100" s="7" t="n">
        <v>94.1</v>
      </c>
      <c r="J100" s="9" t="n">
        <v>5.79</v>
      </c>
      <c r="K100" s="7" t="n">
        <v>0</v>
      </c>
      <c r="L100" s="9" t="n">
        <v>4.5</v>
      </c>
      <c r="M100" s="8" t="n">
        <v>607898.12</v>
      </c>
      <c r="N100" s="8" t="n">
        <v>135404.85</v>
      </c>
    </row>
    <row r="101" customFormat="false" ht="15" hidden="false" customHeight="false" outlineLevel="0" collapsed="false">
      <c r="A101" s="4" t="s">
        <v>52</v>
      </c>
      <c r="B101" s="4" t="s">
        <v>17</v>
      </c>
      <c r="C101" s="4" t="s">
        <v>33</v>
      </c>
      <c r="D101" s="4" t="s">
        <v>34</v>
      </c>
      <c r="E101" s="5" t="n">
        <v>61132.07</v>
      </c>
      <c r="F101" s="4" t="n">
        <v>6394</v>
      </c>
      <c r="G101" s="4" t="n">
        <v>0.163</v>
      </c>
      <c r="H101" s="4" t="n">
        <v>19</v>
      </c>
      <c r="I101" s="4" t="n">
        <v>91</v>
      </c>
      <c r="J101" s="6" t="n">
        <v>19.6</v>
      </c>
      <c r="K101" s="4" t="n">
        <v>0</v>
      </c>
      <c r="L101" s="6" t="n">
        <v>4.4</v>
      </c>
      <c r="M101" s="5" t="n">
        <v>691113.62</v>
      </c>
      <c r="N101" s="5" t="n">
        <v>135145.44</v>
      </c>
    </row>
    <row r="102" customFormat="false" ht="15" hidden="false" customHeight="false" outlineLevel="0" collapsed="false">
      <c r="A102" s="7" t="s">
        <v>52</v>
      </c>
      <c r="B102" s="7" t="s">
        <v>20</v>
      </c>
      <c r="C102" s="7" t="s">
        <v>33</v>
      </c>
      <c r="D102" s="7" t="s">
        <v>34</v>
      </c>
      <c r="E102" s="8" t="n">
        <v>78839.39</v>
      </c>
      <c r="F102" s="7" t="n">
        <v>5150</v>
      </c>
      <c r="G102" s="7" t="n">
        <v>0.171</v>
      </c>
      <c r="H102" s="7" t="n">
        <v>13</v>
      </c>
      <c r="I102" s="7" t="n">
        <v>85.8</v>
      </c>
      <c r="J102" s="9" t="n">
        <v>7.57</v>
      </c>
      <c r="K102" s="7" t="n">
        <v>0</v>
      </c>
      <c r="L102" s="9" t="n">
        <v>4.3</v>
      </c>
      <c r="M102" s="8" t="n">
        <v>735509.4</v>
      </c>
      <c r="N102" s="8" t="n">
        <v>83895.96</v>
      </c>
    </row>
    <row r="103" customFormat="false" ht="15" hidden="false" customHeight="false" outlineLevel="0" collapsed="false">
      <c r="A103" s="4" t="s">
        <v>52</v>
      </c>
      <c r="B103" s="4" t="s">
        <v>21</v>
      </c>
      <c r="C103" s="4" t="s">
        <v>33</v>
      </c>
      <c r="D103" s="4" t="s">
        <v>34</v>
      </c>
      <c r="E103" s="5" t="n">
        <v>38752.8</v>
      </c>
      <c r="F103" s="4" t="n">
        <v>4712</v>
      </c>
      <c r="G103" s="4" t="n">
        <v>0.075</v>
      </c>
      <c r="H103" s="4" t="n">
        <v>15</v>
      </c>
      <c r="I103" s="4" t="n">
        <v>89.7</v>
      </c>
      <c r="J103" s="6"/>
      <c r="K103" s="4" t="n">
        <v>0</v>
      </c>
      <c r="L103" s="6" t="n">
        <v>4.3</v>
      </c>
      <c r="M103" s="5" t="n">
        <v>605775.33</v>
      </c>
      <c r="N103" s="5" t="n">
        <v>107194.6</v>
      </c>
    </row>
    <row r="104" customFormat="false" ht="15" hidden="false" customHeight="false" outlineLevel="0" collapsed="false">
      <c r="A104" s="7" t="s">
        <v>52</v>
      </c>
      <c r="B104" s="7" t="s">
        <v>22</v>
      </c>
      <c r="C104" s="7" t="s">
        <v>33</v>
      </c>
      <c r="D104" s="7" t="s">
        <v>34</v>
      </c>
      <c r="E104" s="8" t="n">
        <v>55101.1</v>
      </c>
      <c r="F104" s="7" t="n">
        <v>5281</v>
      </c>
      <c r="G104" s="7" t="n">
        <v>0.189</v>
      </c>
      <c r="H104" s="7" t="n">
        <v>11</v>
      </c>
      <c r="I104" s="7" t="n">
        <v>91</v>
      </c>
      <c r="J104" s="9" t="n">
        <v>2.7</v>
      </c>
      <c r="K104" s="7" t="n">
        <v>0</v>
      </c>
      <c r="L104" s="9" t="n">
        <v>4.4</v>
      </c>
      <c r="M104" s="8" t="n">
        <v>675177.68</v>
      </c>
      <c r="N104" s="8" t="n">
        <v>105628.68</v>
      </c>
    </row>
    <row r="105" customFormat="false" ht="15" hidden="false" customHeight="false" outlineLevel="0" collapsed="false">
      <c r="A105" s="4" t="s">
        <v>53</v>
      </c>
      <c r="B105" s="4" t="s">
        <v>17</v>
      </c>
      <c r="C105" s="4" t="s">
        <v>18</v>
      </c>
      <c r="D105" s="4" t="s">
        <v>34</v>
      </c>
      <c r="E105" s="5" t="n">
        <v>53084.76</v>
      </c>
      <c r="F105" s="4" t="n">
        <v>3642</v>
      </c>
      <c r="G105" s="4" t="n">
        <v>0.15</v>
      </c>
      <c r="H105" s="4" t="n">
        <v>12</v>
      </c>
      <c r="I105" s="4" t="n">
        <v>91.4</v>
      </c>
      <c r="J105" s="6" t="n">
        <v>0.2</v>
      </c>
      <c r="K105" s="4" t="n">
        <v>0</v>
      </c>
      <c r="L105" s="6" t="n">
        <v>4.4</v>
      </c>
      <c r="M105" s="5" t="n">
        <v>635181.35</v>
      </c>
      <c r="N105" s="5" t="n">
        <v>83341.25</v>
      </c>
    </row>
    <row r="106" customFormat="false" ht="15" hidden="false" customHeight="false" outlineLevel="0" collapsed="false">
      <c r="A106" s="7" t="s">
        <v>53</v>
      </c>
      <c r="B106" s="7" t="s">
        <v>20</v>
      </c>
      <c r="C106" s="7" t="s">
        <v>18</v>
      </c>
      <c r="D106" s="7" t="s">
        <v>34</v>
      </c>
      <c r="E106" s="8" t="n">
        <v>63101.59</v>
      </c>
      <c r="F106" s="7" t="n">
        <v>4373</v>
      </c>
      <c r="G106" s="7" t="n">
        <v>0.173</v>
      </c>
      <c r="H106" s="7" t="n">
        <v>14</v>
      </c>
      <c r="I106" s="7" t="n">
        <v>90.4</v>
      </c>
      <c r="J106" s="9" t="n">
        <v>7.87</v>
      </c>
      <c r="K106" s="7" t="n">
        <v>0</v>
      </c>
      <c r="L106" s="9" t="n">
        <v>4.7</v>
      </c>
      <c r="M106" s="8" t="n">
        <v>586626.94</v>
      </c>
      <c r="N106" s="8" t="n">
        <v>86498.55</v>
      </c>
    </row>
    <row r="107" customFormat="false" ht="15" hidden="false" customHeight="false" outlineLevel="0" collapsed="false">
      <c r="A107" s="4" t="s">
        <v>53</v>
      </c>
      <c r="B107" s="4" t="s">
        <v>21</v>
      </c>
      <c r="C107" s="4" t="s">
        <v>18</v>
      </c>
      <c r="D107" s="4" t="s">
        <v>34</v>
      </c>
      <c r="E107" s="5" t="n">
        <v>90084.4</v>
      </c>
      <c r="F107" s="4" t="n">
        <v>6832</v>
      </c>
      <c r="G107" s="4" t="n">
        <v>0.185</v>
      </c>
      <c r="H107" s="4" t="n">
        <v>14</v>
      </c>
      <c r="I107" s="4" t="n">
        <v>80.5</v>
      </c>
      <c r="J107" s="6" t="n">
        <v>0.77</v>
      </c>
      <c r="K107" s="4" t="n">
        <v>1</v>
      </c>
      <c r="L107" s="6" t="n">
        <v>4.4</v>
      </c>
      <c r="M107" s="5" t="n">
        <v>740102.64</v>
      </c>
      <c r="N107" s="5" t="n">
        <v>114299.07</v>
      </c>
    </row>
    <row r="108" customFormat="false" ht="15" hidden="false" customHeight="false" outlineLevel="0" collapsed="false">
      <c r="A108" s="7" t="s">
        <v>53</v>
      </c>
      <c r="B108" s="7" t="s">
        <v>22</v>
      </c>
      <c r="C108" s="7" t="s">
        <v>18</v>
      </c>
      <c r="D108" s="7" t="s">
        <v>34</v>
      </c>
      <c r="E108" s="8" t="n">
        <v>32266.64</v>
      </c>
      <c r="F108" s="7" t="n">
        <v>2414</v>
      </c>
      <c r="G108" s="7" t="n">
        <v>0.08</v>
      </c>
      <c r="H108" s="7" t="n">
        <v>7</v>
      </c>
      <c r="I108" s="7" t="n">
        <v>92.1</v>
      </c>
      <c r="J108" s="9" t="n">
        <v>1.48</v>
      </c>
      <c r="K108" s="7" t="n">
        <v>0</v>
      </c>
      <c r="L108" s="9" t="n">
        <v>5</v>
      </c>
      <c r="M108" s="8" t="n">
        <v>625514.04</v>
      </c>
      <c r="N108" s="8" t="n">
        <v>120685.08</v>
      </c>
    </row>
    <row r="109" customFormat="false" ht="15" hidden="false" customHeight="false" outlineLevel="0" collapsed="false">
      <c r="A109" s="4" t="s">
        <v>54</v>
      </c>
      <c r="B109" s="4" t="s">
        <v>17</v>
      </c>
      <c r="C109" s="4" t="s">
        <v>33</v>
      </c>
      <c r="D109" s="4" t="s">
        <v>24</v>
      </c>
      <c r="E109" s="5" t="n">
        <v>57919.07</v>
      </c>
      <c r="F109" s="4" t="n">
        <v>7374</v>
      </c>
      <c r="G109" s="4" t="n">
        <v>0.103</v>
      </c>
      <c r="H109" s="4" t="n">
        <v>21</v>
      </c>
      <c r="I109" s="4" t="n">
        <v>82.3</v>
      </c>
      <c r="J109" s="6" t="n">
        <v>2.87</v>
      </c>
      <c r="K109" s="4" t="n">
        <v>0</v>
      </c>
      <c r="L109" s="6" t="n">
        <v>2.9</v>
      </c>
      <c r="M109" s="5" t="n">
        <v>727227.2</v>
      </c>
      <c r="N109" s="5" t="n">
        <v>121292.01</v>
      </c>
    </row>
    <row r="110" customFormat="false" ht="15" hidden="false" customHeight="false" outlineLevel="0" collapsed="false">
      <c r="A110" s="7" t="s">
        <v>54</v>
      </c>
      <c r="B110" s="7" t="s">
        <v>20</v>
      </c>
      <c r="C110" s="7" t="s">
        <v>33</v>
      </c>
      <c r="D110" s="7" t="s">
        <v>24</v>
      </c>
      <c r="E110" s="8" t="n">
        <v>74679.35</v>
      </c>
      <c r="F110" s="7" t="n">
        <v>8739</v>
      </c>
      <c r="G110" s="7" t="n">
        <v>0.056</v>
      </c>
      <c r="H110" s="7" t="n">
        <v>21</v>
      </c>
      <c r="I110" s="7" t="n">
        <v>91.8</v>
      </c>
      <c r="J110" s="9" t="n">
        <v>2.83</v>
      </c>
      <c r="K110" s="7" t="n">
        <v>0</v>
      </c>
      <c r="L110" s="9" t="n">
        <v>3</v>
      </c>
      <c r="M110" s="8" t="n">
        <v>783797.89</v>
      </c>
      <c r="N110" s="8" t="n">
        <v>157620.7</v>
      </c>
    </row>
    <row r="111" customFormat="false" ht="15" hidden="false" customHeight="false" outlineLevel="0" collapsed="false">
      <c r="A111" s="4" t="s">
        <v>54</v>
      </c>
      <c r="B111" s="4" t="s">
        <v>21</v>
      </c>
      <c r="C111" s="4" t="s">
        <v>33</v>
      </c>
      <c r="D111" s="4" t="s">
        <v>24</v>
      </c>
      <c r="E111" s="5" t="n">
        <v>64294.23</v>
      </c>
      <c r="F111" s="4" t="n">
        <v>6992</v>
      </c>
      <c r="G111" s="4" t="n">
        <v>0.133</v>
      </c>
      <c r="H111" s="4" t="n">
        <v>14</v>
      </c>
      <c r="I111" s="4" t="n">
        <v>94.1</v>
      </c>
      <c r="J111" s="6" t="n">
        <v>0.25</v>
      </c>
      <c r="K111" s="4" t="n">
        <v>0</v>
      </c>
      <c r="L111" s="6" t="n">
        <v>3</v>
      </c>
      <c r="M111" s="5" t="n">
        <v>795153.84</v>
      </c>
      <c r="N111" s="5" t="n">
        <v>143194.21</v>
      </c>
    </row>
    <row r="112" customFormat="false" ht="15" hidden="false" customHeight="false" outlineLevel="0" collapsed="false">
      <c r="A112" s="7" t="s">
        <v>54</v>
      </c>
      <c r="B112" s="7" t="s">
        <v>22</v>
      </c>
      <c r="C112" s="7" t="s">
        <v>33</v>
      </c>
      <c r="D112" s="7" t="s">
        <v>24</v>
      </c>
      <c r="E112" s="8" t="n">
        <v>31042.03</v>
      </c>
      <c r="F112" s="7" t="n">
        <v>7107</v>
      </c>
      <c r="G112" s="7" t="n">
        <v>0.051</v>
      </c>
      <c r="H112" s="7" t="n">
        <v>15</v>
      </c>
      <c r="I112" s="7" t="n">
        <v>87</v>
      </c>
      <c r="J112" s="9" t="n">
        <v>13.33</v>
      </c>
      <c r="K112" s="7" t="n">
        <v>0</v>
      </c>
      <c r="L112" s="9" t="n">
        <v>3.2</v>
      </c>
      <c r="M112" s="8" t="n">
        <v>665594.94</v>
      </c>
      <c r="N112" s="8" t="n">
        <v>127597.34</v>
      </c>
    </row>
    <row r="113" customFormat="false" ht="15" hidden="false" customHeight="false" outlineLevel="0" collapsed="false">
      <c r="A113" s="4" t="s">
        <v>55</v>
      </c>
      <c r="B113" s="4" t="s">
        <v>17</v>
      </c>
      <c r="C113" s="4" t="s">
        <v>18</v>
      </c>
      <c r="D113" s="4" t="s">
        <v>34</v>
      </c>
      <c r="E113" s="5" t="n">
        <v>75265.02</v>
      </c>
      <c r="F113" s="4" t="n">
        <v>6975</v>
      </c>
      <c r="G113" s="4" t="n">
        <v>0.157</v>
      </c>
      <c r="H113" s="4" t="n">
        <v>20</v>
      </c>
      <c r="I113" s="4" t="n">
        <v>73.8</v>
      </c>
      <c r="J113" s="6" t="n">
        <v>6.35</v>
      </c>
      <c r="K113" s="4" t="n">
        <v>1</v>
      </c>
      <c r="L113" s="6" t="n">
        <v>3.8</v>
      </c>
      <c r="M113" s="5" t="n">
        <v>709478.39</v>
      </c>
      <c r="N113" s="5" t="n">
        <v>71294.27</v>
      </c>
    </row>
    <row r="114" customFormat="false" ht="15" hidden="false" customHeight="false" outlineLevel="0" collapsed="false">
      <c r="A114" s="7" t="s">
        <v>55</v>
      </c>
      <c r="B114" s="7" t="s">
        <v>20</v>
      </c>
      <c r="C114" s="7" t="s">
        <v>18</v>
      </c>
      <c r="D114" s="7" t="s">
        <v>34</v>
      </c>
      <c r="E114" s="8" t="n">
        <v>69411.7</v>
      </c>
      <c r="F114" s="7" t="n">
        <v>5493</v>
      </c>
      <c r="G114" s="7" t="n">
        <v>0.292</v>
      </c>
      <c r="H114" s="7" t="n">
        <v>13</v>
      </c>
      <c r="I114" s="7" t="n">
        <v>86.5</v>
      </c>
      <c r="J114" s="9" t="n">
        <v>6.69</v>
      </c>
      <c r="K114" s="7" t="n">
        <v>0</v>
      </c>
      <c r="L114" s="9" t="n">
        <v>3.8</v>
      </c>
      <c r="M114" s="8" t="n">
        <v>664162.49</v>
      </c>
      <c r="N114" s="8" t="n">
        <v>98291.06</v>
      </c>
    </row>
    <row r="115" customFormat="false" ht="15" hidden="false" customHeight="false" outlineLevel="0" collapsed="false">
      <c r="A115" s="4" t="s">
        <v>55</v>
      </c>
      <c r="B115" s="4" t="s">
        <v>21</v>
      </c>
      <c r="C115" s="4" t="s">
        <v>18</v>
      </c>
      <c r="D115" s="4" t="s">
        <v>34</v>
      </c>
      <c r="E115" s="5" t="n">
        <v>51056.15</v>
      </c>
      <c r="F115" s="4" t="n">
        <v>5686</v>
      </c>
      <c r="G115" s="4" t="n">
        <v>0.089</v>
      </c>
      <c r="H115" s="4" t="n">
        <v>13</v>
      </c>
      <c r="I115" s="4" t="n">
        <v>89.9</v>
      </c>
      <c r="J115" s="6" t="n">
        <v>1.28</v>
      </c>
      <c r="K115" s="4" t="n">
        <v>0</v>
      </c>
      <c r="L115" s="6" t="n">
        <v>4.2</v>
      </c>
      <c r="M115" s="5" t="n">
        <v>633494.21</v>
      </c>
      <c r="N115" s="5" t="n">
        <v>105739.47</v>
      </c>
    </row>
    <row r="116" customFormat="false" ht="15" hidden="false" customHeight="false" outlineLevel="0" collapsed="false">
      <c r="A116" s="7" t="s">
        <v>55</v>
      </c>
      <c r="B116" s="7" t="s">
        <v>22</v>
      </c>
      <c r="C116" s="7" t="s">
        <v>18</v>
      </c>
      <c r="D116" s="7" t="s">
        <v>34</v>
      </c>
      <c r="E116" s="8" t="n">
        <v>52758.01</v>
      </c>
      <c r="F116" s="7" t="n">
        <v>4063</v>
      </c>
      <c r="G116" s="7" t="n">
        <v>0.057</v>
      </c>
      <c r="H116" s="7" t="n">
        <v>12</v>
      </c>
      <c r="I116" s="7" t="n">
        <v>91.7</v>
      </c>
      <c r="J116" s="9" t="n">
        <v>0.92</v>
      </c>
      <c r="K116" s="7" t="n">
        <v>0</v>
      </c>
      <c r="L116" s="9" t="n">
        <v>3.5</v>
      </c>
      <c r="M116" s="8" t="n">
        <v>713611.16</v>
      </c>
      <c r="N116" s="8" t="n">
        <v>129717.18</v>
      </c>
    </row>
    <row r="117" customFormat="false" ht="15" hidden="false" customHeight="false" outlineLevel="0" collapsed="false">
      <c r="A117" s="4" t="s">
        <v>56</v>
      </c>
      <c r="B117" s="4" t="s">
        <v>17</v>
      </c>
      <c r="C117" s="4" t="s">
        <v>33</v>
      </c>
      <c r="D117" s="4" t="s">
        <v>34</v>
      </c>
      <c r="E117" s="5" t="n">
        <v>61426.04</v>
      </c>
      <c r="F117" s="4" t="n">
        <v>8966</v>
      </c>
      <c r="G117" s="4" t="n">
        <v>0.173</v>
      </c>
      <c r="H117" s="4" t="n">
        <v>22</v>
      </c>
      <c r="I117" s="4" t="n">
        <v>76.4</v>
      </c>
      <c r="J117" s="6" t="n">
        <v>1.05</v>
      </c>
      <c r="K117" s="4" t="n">
        <v>0</v>
      </c>
      <c r="L117" s="6" t="n">
        <v>3.1</v>
      </c>
      <c r="M117" s="5" t="n">
        <v>778397.97</v>
      </c>
      <c r="N117" s="5" t="n">
        <v>120044.41</v>
      </c>
    </row>
    <row r="118" customFormat="false" ht="15" hidden="false" customHeight="false" outlineLevel="0" collapsed="false">
      <c r="A118" s="7" t="s">
        <v>56</v>
      </c>
      <c r="B118" s="7" t="s">
        <v>20</v>
      </c>
      <c r="C118" s="7" t="s">
        <v>33</v>
      </c>
      <c r="D118" s="7" t="s">
        <v>34</v>
      </c>
      <c r="E118" s="8" t="n">
        <v>80176.34</v>
      </c>
      <c r="F118" s="7" t="n">
        <v>9489</v>
      </c>
      <c r="G118" s="7" t="n">
        <v>0.142</v>
      </c>
      <c r="H118" s="7" t="n">
        <v>22</v>
      </c>
      <c r="I118" s="7" t="n">
        <v>94.3</v>
      </c>
      <c r="J118" s="9" t="n">
        <v>2.67</v>
      </c>
      <c r="K118" s="7" t="n">
        <v>0</v>
      </c>
      <c r="L118" s="9" t="n">
        <v>3.5</v>
      </c>
      <c r="M118" s="8" t="n">
        <v>873380.02</v>
      </c>
      <c r="N118" s="8" t="n">
        <v>149734.76</v>
      </c>
    </row>
    <row r="119" customFormat="false" ht="15" hidden="false" customHeight="false" outlineLevel="0" collapsed="false">
      <c r="A119" s="4" t="s">
        <v>56</v>
      </c>
      <c r="B119" s="4" t="s">
        <v>21</v>
      </c>
      <c r="C119" s="4" t="s">
        <v>33</v>
      </c>
      <c r="D119" s="4" t="s">
        <v>34</v>
      </c>
      <c r="E119" s="5" t="n">
        <v>33605.18</v>
      </c>
      <c r="F119" s="4" t="n">
        <v>9225</v>
      </c>
      <c r="G119" s="4" t="n">
        <v>0.159</v>
      </c>
      <c r="H119" s="4" t="n">
        <v>23</v>
      </c>
      <c r="I119" s="4" t="n">
        <v>88.4</v>
      </c>
      <c r="J119" s="6" t="n">
        <v>5.91</v>
      </c>
      <c r="K119" s="4" t="n">
        <v>0</v>
      </c>
      <c r="L119" s="6" t="n">
        <v>2.8</v>
      </c>
      <c r="M119" s="5" t="n">
        <v>697287.9</v>
      </c>
      <c r="N119" s="5" t="n">
        <v>128208.33</v>
      </c>
    </row>
    <row r="120" customFormat="false" ht="15" hidden="false" customHeight="false" outlineLevel="0" collapsed="false">
      <c r="A120" s="7" t="s">
        <v>56</v>
      </c>
      <c r="B120" s="7" t="s">
        <v>22</v>
      </c>
      <c r="C120" s="7" t="s">
        <v>33</v>
      </c>
      <c r="D120" s="7" t="s">
        <v>34</v>
      </c>
      <c r="E120" s="8" t="n">
        <v>25990.54</v>
      </c>
      <c r="F120" s="7" t="n">
        <v>9249</v>
      </c>
      <c r="G120" s="7" t="n">
        <v>0.139</v>
      </c>
      <c r="H120" s="7" t="n">
        <v>23</v>
      </c>
      <c r="I120" s="7" t="n">
        <v>92.5</v>
      </c>
      <c r="J120" s="9" t="n">
        <v>6.37</v>
      </c>
      <c r="K120" s="7" t="n">
        <v>0</v>
      </c>
      <c r="L120" s="9" t="n">
        <v>3.3</v>
      </c>
      <c r="M120" s="8" t="n">
        <v>718074.79</v>
      </c>
      <c r="N120" s="8" t="n">
        <v>115819.87</v>
      </c>
    </row>
    <row r="121" customFormat="false" ht="15" hidden="false" customHeight="false" outlineLevel="0" collapsed="false">
      <c r="A121" s="4" t="s">
        <v>57</v>
      </c>
      <c r="B121" s="4" t="s">
        <v>17</v>
      </c>
      <c r="C121" s="4" t="s">
        <v>33</v>
      </c>
      <c r="D121" s="4" t="s">
        <v>19</v>
      </c>
      <c r="E121" s="5" t="n">
        <v>43685.14</v>
      </c>
      <c r="F121" s="4" t="n">
        <v>7821</v>
      </c>
      <c r="G121" s="4" t="n">
        <v>0.19</v>
      </c>
      <c r="H121" s="4" t="n">
        <v>17</v>
      </c>
      <c r="I121" s="4" t="n">
        <v>91</v>
      </c>
      <c r="J121" s="6" t="n">
        <v>2.49</v>
      </c>
      <c r="K121" s="4" t="n">
        <v>1</v>
      </c>
      <c r="L121" s="6" t="n">
        <v>4.7</v>
      </c>
      <c r="M121" s="5" t="n">
        <v>714942.43</v>
      </c>
      <c r="N121" s="5" t="n">
        <v>94697.71</v>
      </c>
    </row>
    <row r="122" customFormat="false" ht="15" hidden="false" customHeight="false" outlineLevel="0" collapsed="false">
      <c r="A122" s="7" t="s">
        <v>57</v>
      </c>
      <c r="B122" s="7" t="s">
        <v>20</v>
      </c>
      <c r="C122" s="7" t="s">
        <v>33</v>
      </c>
      <c r="D122" s="7" t="s">
        <v>19</v>
      </c>
      <c r="E122" s="8" t="n">
        <v>57360.01</v>
      </c>
      <c r="F122" s="7" t="n">
        <v>8434</v>
      </c>
      <c r="G122" s="7" t="n">
        <v>0.151</v>
      </c>
      <c r="H122" s="7" t="n">
        <v>19</v>
      </c>
      <c r="I122" s="7" t="n">
        <v>84.1</v>
      </c>
      <c r="J122" s="9" t="n">
        <v>1.56</v>
      </c>
      <c r="K122" s="7" t="n">
        <v>0</v>
      </c>
      <c r="L122" s="9" t="n">
        <v>4.7</v>
      </c>
      <c r="M122" s="8" t="n">
        <v>820519.04</v>
      </c>
      <c r="N122" s="8" t="n">
        <v>99035.88</v>
      </c>
    </row>
    <row r="123" customFormat="false" ht="15" hidden="false" customHeight="false" outlineLevel="0" collapsed="false">
      <c r="A123" s="4" t="s">
        <v>57</v>
      </c>
      <c r="B123" s="4" t="s">
        <v>21</v>
      </c>
      <c r="C123" s="4" t="s">
        <v>33</v>
      </c>
      <c r="D123" s="4" t="s">
        <v>19</v>
      </c>
      <c r="E123" s="5" t="n">
        <v>42415.47</v>
      </c>
      <c r="F123" s="4" t="n">
        <v>8512</v>
      </c>
      <c r="G123" s="4" t="n">
        <v>0.133</v>
      </c>
      <c r="H123" s="4" t="n">
        <v>18</v>
      </c>
      <c r="I123" s="4" t="n">
        <v>96.8</v>
      </c>
      <c r="J123" s="6" t="n">
        <v>14.95</v>
      </c>
      <c r="K123" s="4" t="n">
        <v>0</v>
      </c>
      <c r="L123" s="6" t="n">
        <v>4.6</v>
      </c>
      <c r="M123" s="5" t="n">
        <v>684217.32</v>
      </c>
      <c r="N123" s="5" t="n">
        <v>136217.19</v>
      </c>
    </row>
    <row r="124" customFormat="false" ht="15" hidden="false" customHeight="false" outlineLevel="0" collapsed="false">
      <c r="A124" s="7" t="s">
        <v>57</v>
      </c>
      <c r="B124" s="7" t="s">
        <v>22</v>
      </c>
      <c r="C124" s="7" t="s">
        <v>33</v>
      </c>
      <c r="D124" s="7" t="s">
        <v>19</v>
      </c>
      <c r="E124" s="8" t="n">
        <v>54968.98</v>
      </c>
      <c r="F124" s="7" t="n">
        <v>7816</v>
      </c>
      <c r="G124" s="7" t="n">
        <v>0.232</v>
      </c>
      <c r="H124" s="7" t="n">
        <v>19</v>
      </c>
      <c r="I124" s="7" t="n">
        <v>95.7</v>
      </c>
      <c r="J124" s="9" t="n">
        <v>7.85</v>
      </c>
      <c r="K124" s="7" t="n">
        <v>0</v>
      </c>
      <c r="L124" s="9" t="n">
        <v>4.7</v>
      </c>
      <c r="M124" s="8" t="n">
        <v>735480.19</v>
      </c>
      <c r="N124" s="8" t="n">
        <v>88342.11</v>
      </c>
    </row>
    <row r="125" customFormat="false" ht="15" hidden="false" customHeight="false" outlineLevel="0" collapsed="false">
      <c r="A125" s="4" t="s">
        <v>58</v>
      </c>
      <c r="B125" s="4" t="s">
        <v>17</v>
      </c>
      <c r="C125" s="4" t="s">
        <v>26</v>
      </c>
      <c r="D125" s="4" t="s">
        <v>24</v>
      </c>
      <c r="E125" s="5" t="n">
        <v>43896.13</v>
      </c>
      <c r="F125" s="4" t="n">
        <v>3853</v>
      </c>
      <c r="G125" s="4" t="n">
        <v>0.088</v>
      </c>
      <c r="H125" s="4" t="n">
        <v>13</v>
      </c>
      <c r="I125" s="4" t="n">
        <v>83</v>
      </c>
      <c r="J125" s="6" t="n">
        <v>6.8</v>
      </c>
      <c r="K125" s="4" t="n">
        <v>0</v>
      </c>
      <c r="L125" s="6" t="n">
        <v>4.4</v>
      </c>
      <c r="M125" s="5" t="n">
        <v>509484.81</v>
      </c>
      <c r="N125" s="5" t="n">
        <v>85742.36</v>
      </c>
    </row>
    <row r="126" customFormat="false" ht="15" hidden="false" customHeight="false" outlineLevel="0" collapsed="false">
      <c r="A126" s="7" t="s">
        <v>58</v>
      </c>
      <c r="B126" s="7" t="s">
        <v>20</v>
      </c>
      <c r="C126" s="7" t="s">
        <v>26</v>
      </c>
      <c r="D126" s="7" t="s">
        <v>24</v>
      </c>
      <c r="E126" s="8" t="n">
        <v>83044.17</v>
      </c>
      <c r="F126" s="7" t="n">
        <v>3694</v>
      </c>
      <c r="G126" s="7" t="n">
        <v>0</v>
      </c>
      <c r="H126" s="7" t="n">
        <v>14</v>
      </c>
      <c r="I126" s="7" t="n">
        <v>89.4</v>
      </c>
      <c r="J126" s="9" t="n">
        <v>2.2</v>
      </c>
      <c r="K126" s="7" t="n">
        <v>0</v>
      </c>
      <c r="L126" s="9" t="n">
        <v>3.7</v>
      </c>
      <c r="M126" s="8" t="n">
        <v>654317.09</v>
      </c>
      <c r="N126" s="8" t="n">
        <v>121446.89</v>
      </c>
    </row>
    <row r="127" customFormat="false" ht="15" hidden="false" customHeight="false" outlineLevel="0" collapsed="false">
      <c r="A127" s="4" t="s">
        <v>58</v>
      </c>
      <c r="B127" s="4" t="s">
        <v>21</v>
      </c>
      <c r="C127" s="4" t="s">
        <v>26</v>
      </c>
      <c r="D127" s="4" t="s">
        <v>24</v>
      </c>
      <c r="E127" s="5" t="n">
        <v>48396.13</v>
      </c>
      <c r="F127" s="4" t="n">
        <v>4423</v>
      </c>
      <c r="G127" s="4" t="n">
        <v>0.069</v>
      </c>
      <c r="H127" s="4" t="n">
        <v>15</v>
      </c>
      <c r="I127" s="4" t="n">
        <v>85.7</v>
      </c>
      <c r="J127" s="6" t="n">
        <v>1.88</v>
      </c>
      <c r="K127" s="4" t="n">
        <v>0</v>
      </c>
      <c r="L127" s="6" t="n">
        <v>3.9</v>
      </c>
      <c r="M127" s="5" t="n">
        <v>557487.26</v>
      </c>
      <c r="N127" s="5" t="n">
        <v>76432.19</v>
      </c>
    </row>
    <row r="128" customFormat="false" ht="15" hidden="false" customHeight="false" outlineLevel="0" collapsed="false">
      <c r="A128" s="7" t="s">
        <v>58</v>
      </c>
      <c r="B128" s="7" t="s">
        <v>22</v>
      </c>
      <c r="C128" s="7" t="s">
        <v>26</v>
      </c>
      <c r="D128" s="7" t="s">
        <v>24</v>
      </c>
      <c r="E128" s="8" t="n">
        <v>19063.48</v>
      </c>
      <c r="F128" s="7" t="n">
        <v>1906</v>
      </c>
      <c r="G128" s="7" t="n">
        <v>0.216</v>
      </c>
      <c r="H128" s="7" t="n">
        <v>10</v>
      </c>
      <c r="I128" s="7" t="n">
        <v>97.8</v>
      </c>
      <c r="J128" s="9" t="n">
        <v>15.79</v>
      </c>
      <c r="K128" s="7" t="n">
        <v>0</v>
      </c>
      <c r="L128" s="9" t="n">
        <v>4.4</v>
      </c>
      <c r="M128" s="8" t="n">
        <v>441275.42</v>
      </c>
      <c r="N128" s="8" t="n">
        <v>58234.87</v>
      </c>
    </row>
    <row r="129" customFormat="false" ht="15" hidden="false" customHeight="false" outlineLevel="0" collapsed="false">
      <c r="A129" s="4" t="s">
        <v>59</v>
      </c>
      <c r="B129" s="4" t="s">
        <v>17</v>
      </c>
      <c r="C129" s="4" t="s">
        <v>30</v>
      </c>
      <c r="D129" s="4" t="s">
        <v>24</v>
      </c>
      <c r="E129" s="5" t="n">
        <v>61541.21</v>
      </c>
      <c r="F129" s="4" t="n">
        <v>10396</v>
      </c>
      <c r="G129" s="4" t="n">
        <v>0.123</v>
      </c>
      <c r="H129" s="4" t="n">
        <v>25</v>
      </c>
      <c r="I129" s="4" t="n">
        <v>88.1</v>
      </c>
      <c r="J129" s="6" t="n">
        <v>2.34</v>
      </c>
      <c r="K129" s="4" t="n">
        <v>1</v>
      </c>
      <c r="L129" s="6" t="n">
        <v>4.8</v>
      </c>
      <c r="M129" s="5" t="n">
        <v>914544.17</v>
      </c>
      <c r="N129" s="5" t="n">
        <v>79831.73</v>
      </c>
    </row>
    <row r="130" customFormat="false" ht="15" hidden="false" customHeight="false" outlineLevel="0" collapsed="false">
      <c r="A130" s="7" t="s">
        <v>59</v>
      </c>
      <c r="B130" s="7" t="s">
        <v>20</v>
      </c>
      <c r="C130" s="7" t="s">
        <v>30</v>
      </c>
      <c r="D130" s="7" t="s">
        <v>24</v>
      </c>
      <c r="E130" s="8" t="n">
        <v>44747</v>
      </c>
      <c r="F130" s="7" t="n">
        <v>11076</v>
      </c>
      <c r="G130" s="7" t="n">
        <v>0.176</v>
      </c>
      <c r="H130" s="7" t="n">
        <v>27</v>
      </c>
      <c r="I130" s="7" t="n">
        <v>98.3</v>
      </c>
      <c r="J130" s="9" t="n">
        <v>0.54</v>
      </c>
      <c r="K130" s="7" t="n">
        <v>0</v>
      </c>
      <c r="L130" s="9" t="n">
        <v>4.4</v>
      </c>
      <c r="M130" s="8" t="n">
        <v>842439.67</v>
      </c>
      <c r="N130" s="8" t="n">
        <v>169983.63</v>
      </c>
    </row>
    <row r="131" customFormat="false" ht="15" hidden="false" customHeight="false" outlineLevel="0" collapsed="false">
      <c r="A131" s="4" t="s">
        <v>59</v>
      </c>
      <c r="B131" s="4" t="s">
        <v>21</v>
      </c>
      <c r="C131" s="4" t="s">
        <v>30</v>
      </c>
      <c r="D131" s="4" t="s">
        <v>24</v>
      </c>
      <c r="E131" s="5" t="n">
        <v>56517.9</v>
      </c>
      <c r="F131" s="4" t="n">
        <v>9574</v>
      </c>
      <c r="G131" s="4" t="n">
        <v>0.204</v>
      </c>
      <c r="H131" s="4" t="n">
        <v>20</v>
      </c>
      <c r="I131" s="4" t="n">
        <v>88.2</v>
      </c>
      <c r="J131" s="6" t="n">
        <v>5.37</v>
      </c>
      <c r="K131" s="4" t="n">
        <v>1</v>
      </c>
      <c r="L131" s="6" t="n">
        <v>4.9</v>
      </c>
      <c r="M131" s="5" t="n">
        <v>842157.92</v>
      </c>
      <c r="N131" s="5" t="n">
        <v>107348.22</v>
      </c>
    </row>
    <row r="132" customFormat="false" ht="15" hidden="false" customHeight="false" outlineLevel="0" collapsed="false">
      <c r="A132" s="7" t="s">
        <v>59</v>
      </c>
      <c r="B132" s="7" t="s">
        <v>22</v>
      </c>
      <c r="C132" s="7" t="s">
        <v>30</v>
      </c>
      <c r="D132" s="7" t="s">
        <v>24</v>
      </c>
      <c r="E132" s="8" t="n">
        <v>37828.5</v>
      </c>
      <c r="F132" s="7" t="n">
        <v>8221</v>
      </c>
      <c r="G132" s="7" t="n">
        <v>0.096</v>
      </c>
      <c r="H132" s="7" t="n">
        <v>19</v>
      </c>
      <c r="I132" s="7" t="n">
        <v>81.5</v>
      </c>
      <c r="J132" s="9" t="n">
        <v>3.19</v>
      </c>
      <c r="K132" s="7" t="n">
        <v>0</v>
      </c>
      <c r="L132" s="9" t="n">
        <v>4.8</v>
      </c>
      <c r="M132" s="8" t="n">
        <v>697155.3</v>
      </c>
      <c r="N132" s="8" t="n">
        <v>136408.54</v>
      </c>
    </row>
    <row r="133" customFormat="false" ht="15" hidden="false" customHeight="false" outlineLevel="0" collapsed="false">
      <c r="A133" s="4" t="s">
        <v>60</v>
      </c>
      <c r="B133" s="4" t="s">
        <v>17</v>
      </c>
      <c r="C133" s="4" t="s">
        <v>18</v>
      </c>
      <c r="D133" s="4" t="s">
        <v>24</v>
      </c>
      <c r="E133" s="5" t="n">
        <v>66250.53</v>
      </c>
      <c r="F133" s="4" t="n">
        <v>10618</v>
      </c>
      <c r="G133" s="4" t="n">
        <v>0.142</v>
      </c>
      <c r="H133" s="4" t="n">
        <v>27</v>
      </c>
      <c r="I133" s="4" t="n">
        <v>88.3</v>
      </c>
      <c r="J133" s="6" t="n">
        <v>1.1</v>
      </c>
      <c r="K133" s="4" t="n">
        <v>1</v>
      </c>
      <c r="L133" s="6" t="n">
        <v>4.4</v>
      </c>
      <c r="M133" s="5" t="n">
        <v>849018.3</v>
      </c>
      <c r="N133" s="5" t="n">
        <v>149035.13</v>
      </c>
    </row>
    <row r="134" customFormat="false" ht="15" hidden="false" customHeight="false" outlineLevel="0" collapsed="false">
      <c r="A134" s="7" t="s">
        <v>60</v>
      </c>
      <c r="B134" s="7" t="s">
        <v>20</v>
      </c>
      <c r="C134" s="7" t="s">
        <v>18</v>
      </c>
      <c r="D134" s="7" t="s">
        <v>24</v>
      </c>
      <c r="E134" s="8" t="n">
        <v>68410.93</v>
      </c>
      <c r="F134" s="7" t="n">
        <v>10596</v>
      </c>
      <c r="G134" s="7" t="n">
        <v>0.207</v>
      </c>
      <c r="H134" s="7" t="n">
        <v>25</v>
      </c>
      <c r="I134" s="7" t="n">
        <v>81.2</v>
      </c>
      <c r="J134" s="9" t="n">
        <v>0.21</v>
      </c>
      <c r="K134" s="7" t="n">
        <v>0</v>
      </c>
      <c r="L134" s="9" t="n">
        <v>4</v>
      </c>
      <c r="M134" s="8" t="n">
        <v>801830.35</v>
      </c>
      <c r="N134" s="8" t="n">
        <v>114875.32</v>
      </c>
    </row>
    <row r="135" customFormat="false" ht="15" hidden="false" customHeight="false" outlineLevel="0" collapsed="false">
      <c r="A135" s="4" t="s">
        <v>60</v>
      </c>
      <c r="B135" s="4" t="s">
        <v>21</v>
      </c>
      <c r="C135" s="4" t="s">
        <v>18</v>
      </c>
      <c r="D135" s="4" t="s">
        <v>24</v>
      </c>
      <c r="E135" s="5" t="n">
        <v>50735.63</v>
      </c>
      <c r="F135" s="4" t="n">
        <v>9619</v>
      </c>
      <c r="G135" s="4" t="n">
        <v>0.144</v>
      </c>
      <c r="H135" s="4" t="n">
        <v>19</v>
      </c>
      <c r="I135" s="4" t="n">
        <v>93.8</v>
      </c>
      <c r="J135" s="6" t="n">
        <v>5.12</v>
      </c>
      <c r="K135" s="4" t="n">
        <v>1</v>
      </c>
      <c r="L135" s="6" t="n">
        <v>4.5</v>
      </c>
      <c r="M135" s="5" t="n">
        <v>725235.28</v>
      </c>
      <c r="N135" s="5" t="n">
        <v>121632.24</v>
      </c>
    </row>
    <row r="136" customFormat="false" ht="15" hidden="false" customHeight="false" outlineLevel="0" collapsed="false">
      <c r="A136" s="7" t="s">
        <v>60</v>
      </c>
      <c r="B136" s="7" t="s">
        <v>22</v>
      </c>
      <c r="C136" s="7" t="s">
        <v>18</v>
      </c>
      <c r="D136" s="7" t="s">
        <v>24</v>
      </c>
      <c r="E136" s="8" t="n">
        <v>66455.8</v>
      </c>
      <c r="F136" s="7" t="n">
        <v>10836</v>
      </c>
      <c r="G136" s="7" t="n">
        <v>0.089</v>
      </c>
      <c r="H136" s="7" t="n">
        <v>25</v>
      </c>
      <c r="I136" s="7" t="n">
        <v>85</v>
      </c>
      <c r="J136" s="9" t="n">
        <v>9.77</v>
      </c>
      <c r="K136" s="7" t="n">
        <v>0</v>
      </c>
      <c r="L136" s="9" t="n">
        <v>4.5</v>
      </c>
      <c r="M136" s="8" t="n">
        <v>811452.72</v>
      </c>
      <c r="N136" s="8" t="n">
        <v>131325.67</v>
      </c>
    </row>
    <row r="137" customFormat="false" ht="15" hidden="false" customHeight="false" outlineLevel="0" collapsed="false">
      <c r="A137" s="4" t="s">
        <v>61</v>
      </c>
      <c r="B137" s="4" t="s">
        <v>17</v>
      </c>
      <c r="C137" s="4" t="s">
        <v>26</v>
      </c>
      <c r="D137" s="4" t="s">
        <v>24</v>
      </c>
      <c r="E137" s="5" t="n">
        <v>70276.28</v>
      </c>
      <c r="F137" s="4" t="n">
        <v>3043</v>
      </c>
      <c r="G137" s="4" t="n">
        <v>0.079</v>
      </c>
      <c r="H137" s="4" t="n">
        <v>9</v>
      </c>
      <c r="I137" s="4" t="n">
        <v>87.9</v>
      </c>
      <c r="J137" s="6" t="n">
        <v>3.77</v>
      </c>
      <c r="K137" s="4" t="n">
        <v>0</v>
      </c>
      <c r="L137" s="6" t="n">
        <v>4.4</v>
      </c>
      <c r="M137" s="5" t="n">
        <v>527300.13</v>
      </c>
      <c r="N137" s="5" t="n">
        <v>84197.87</v>
      </c>
    </row>
    <row r="138" customFormat="false" ht="15" hidden="false" customHeight="false" outlineLevel="0" collapsed="false">
      <c r="A138" s="7" t="s">
        <v>61</v>
      </c>
      <c r="B138" s="7" t="s">
        <v>20</v>
      </c>
      <c r="C138" s="7" t="s">
        <v>26</v>
      </c>
      <c r="D138" s="7" t="s">
        <v>24</v>
      </c>
      <c r="E138" s="8" t="n">
        <v>22071.64</v>
      </c>
      <c r="F138" s="7" t="n">
        <v>1814</v>
      </c>
      <c r="G138" s="7" t="n">
        <v>0.196</v>
      </c>
      <c r="H138" s="7" t="n">
        <v>8</v>
      </c>
      <c r="I138" s="7" t="n">
        <v>81.1</v>
      </c>
      <c r="J138" s="9" t="n">
        <v>0.78</v>
      </c>
      <c r="K138" s="7" t="n">
        <v>0</v>
      </c>
      <c r="L138" s="9"/>
      <c r="M138" s="8" t="n">
        <v>400831.65</v>
      </c>
      <c r="N138" s="8" t="n">
        <v>70979.31</v>
      </c>
    </row>
    <row r="139" customFormat="false" ht="15" hidden="false" customHeight="false" outlineLevel="0" collapsed="false">
      <c r="A139" s="4" t="s">
        <v>61</v>
      </c>
      <c r="B139" s="4" t="s">
        <v>21</v>
      </c>
      <c r="C139" s="4" t="s">
        <v>26</v>
      </c>
      <c r="D139" s="4" t="s">
        <v>24</v>
      </c>
      <c r="E139" s="5" t="n">
        <v>52285.45</v>
      </c>
      <c r="F139" s="4" t="n">
        <v>3618</v>
      </c>
      <c r="G139" s="4" t="n">
        <v>0.086</v>
      </c>
      <c r="H139" s="4" t="n">
        <v>11</v>
      </c>
      <c r="I139" s="4" t="n">
        <v>95.6</v>
      </c>
      <c r="J139" s="6" t="n">
        <v>5.17</v>
      </c>
      <c r="K139" s="4" t="n">
        <v>1</v>
      </c>
      <c r="L139" s="6" t="n">
        <v>4.4</v>
      </c>
      <c r="M139" s="5" t="n">
        <v>593247.25</v>
      </c>
      <c r="N139" s="5" t="n">
        <v>81240.29</v>
      </c>
    </row>
    <row r="140" customFormat="false" ht="15" hidden="false" customHeight="false" outlineLevel="0" collapsed="false">
      <c r="A140" s="7" t="s">
        <v>61</v>
      </c>
      <c r="B140" s="7" t="s">
        <v>22</v>
      </c>
      <c r="C140" s="7" t="s">
        <v>26</v>
      </c>
      <c r="D140" s="7" t="s">
        <v>24</v>
      </c>
      <c r="E140" s="8" t="n">
        <v>70366.76</v>
      </c>
      <c r="F140" s="7" t="n">
        <v>1963</v>
      </c>
      <c r="G140" s="7" t="n">
        <v>0.182</v>
      </c>
      <c r="H140" s="7" t="n">
        <v>8</v>
      </c>
      <c r="I140" s="7" t="n">
        <v>89.8</v>
      </c>
      <c r="J140" s="9" t="n">
        <v>3.2</v>
      </c>
      <c r="K140" s="7" t="n">
        <v>0</v>
      </c>
      <c r="L140" s="9" t="n">
        <v>4.6</v>
      </c>
      <c r="M140" s="8" t="n">
        <v>529075.95</v>
      </c>
      <c r="N140" s="8" t="n">
        <v>95978.83</v>
      </c>
    </row>
    <row r="141" customFormat="false" ht="15" hidden="false" customHeight="false" outlineLevel="0" collapsed="false">
      <c r="A141" s="4" t="s">
        <v>62</v>
      </c>
      <c r="B141" s="4" t="s">
        <v>17</v>
      </c>
      <c r="C141" s="4" t="s">
        <v>30</v>
      </c>
      <c r="D141" s="4" t="s">
        <v>19</v>
      </c>
      <c r="E141" s="5" t="n">
        <v>71320.66</v>
      </c>
      <c r="F141" s="4" t="n">
        <v>7888</v>
      </c>
      <c r="G141" s="4" t="n">
        <v>0.048</v>
      </c>
      <c r="H141" s="4" t="n">
        <v>20</v>
      </c>
      <c r="I141" s="4" t="n">
        <v>78.1</v>
      </c>
      <c r="J141" s="6" t="n">
        <v>3.4</v>
      </c>
      <c r="K141" s="4" t="n">
        <v>0</v>
      </c>
      <c r="L141" s="6"/>
      <c r="M141" s="5" t="n">
        <v>633638.03</v>
      </c>
      <c r="N141" s="5" t="n">
        <v>99402.01</v>
      </c>
    </row>
    <row r="142" customFormat="false" ht="15" hidden="false" customHeight="false" outlineLevel="0" collapsed="false">
      <c r="A142" s="7" t="s">
        <v>62</v>
      </c>
      <c r="B142" s="7" t="s">
        <v>20</v>
      </c>
      <c r="C142" s="7" t="s">
        <v>30</v>
      </c>
      <c r="D142" s="7" t="s">
        <v>19</v>
      </c>
      <c r="E142" s="8" t="n">
        <v>75109.67</v>
      </c>
      <c r="F142" s="7" t="n">
        <v>6244</v>
      </c>
      <c r="G142" s="7" t="n">
        <v>0.079</v>
      </c>
      <c r="H142" s="7" t="n">
        <v>15</v>
      </c>
      <c r="I142" s="7" t="n">
        <v>96.3</v>
      </c>
      <c r="J142" s="9" t="n">
        <v>7.38</v>
      </c>
      <c r="K142" s="7" t="n">
        <v>0</v>
      </c>
      <c r="L142" s="9" t="n">
        <v>3.7</v>
      </c>
      <c r="M142" s="8" t="n">
        <v>743348.84</v>
      </c>
      <c r="N142" s="8" t="n">
        <v>104186.09</v>
      </c>
    </row>
    <row r="143" customFormat="false" ht="15" hidden="false" customHeight="false" outlineLevel="0" collapsed="false">
      <c r="A143" s="4" t="s">
        <v>62</v>
      </c>
      <c r="B143" s="4" t="s">
        <v>21</v>
      </c>
      <c r="C143" s="4" t="s">
        <v>30</v>
      </c>
      <c r="D143" s="4" t="s">
        <v>19</v>
      </c>
      <c r="E143" s="5" t="n">
        <v>69779</v>
      </c>
      <c r="F143" s="4" t="n">
        <v>6544</v>
      </c>
      <c r="G143" s="4" t="n">
        <v>0.152</v>
      </c>
      <c r="H143" s="4" t="n">
        <v>18</v>
      </c>
      <c r="I143" s="4" t="n">
        <v>90.2</v>
      </c>
      <c r="J143" s="6" t="n">
        <v>0.85</v>
      </c>
      <c r="K143" s="4" t="n">
        <v>1</v>
      </c>
      <c r="L143" s="6" t="n">
        <v>3.3</v>
      </c>
      <c r="M143" s="5" t="n">
        <v>758827.64</v>
      </c>
      <c r="N143" s="5" t="n">
        <v>161439.48</v>
      </c>
    </row>
    <row r="144" customFormat="false" ht="15" hidden="false" customHeight="false" outlineLevel="0" collapsed="false">
      <c r="A144" s="7" t="s">
        <v>62</v>
      </c>
      <c r="B144" s="7" t="s">
        <v>22</v>
      </c>
      <c r="C144" s="7" t="s">
        <v>30</v>
      </c>
      <c r="D144" s="7" t="s">
        <v>19</v>
      </c>
      <c r="E144" s="8" t="n">
        <v>44211.95</v>
      </c>
      <c r="F144" s="7" t="n">
        <v>5465</v>
      </c>
      <c r="G144" s="7" t="n">
        <v>0.187</v>
      </c>
      <c r="H144" s="7" t="n">
        <v>12</v>
      </c>
      <c r="I144" s="7" t="n">
        <v>90</v>
      </c>
      <c r="J144" s="9" t="n">
        <v>2.89</v>
      </c>
      <c r="K144" s="7" t="n">
        <v>0</v>
      </c>
      <c r="L144" s="9" t="n">
        <v>3.6</v>
      </c>
      <c r="M144" s="8" t="n">
        <v>646559.71</v>
      </c>
      <c r="N144" s="8" t="n">
        <v>97981.75</v>
      </c>
    </row>
    <row r="145" customFormat="false" ht="15" hidden="false" customHeight="false" outlineLevel="0" collapsed="false">
      <c r="A145" s="4" t="s">
        <v>63</v>
      </c>
      <c r="B145" s="4" t="s">
        <v>17</v>
      </c>
      <c r="C145" s="4" t="s">
        <v>33</v>
      </c>
      <c r="D145" s="4" t="s">
        <v>24</v>
      </c>
      <c r="E145" s="5" t="n">
        <v>51430.31</v>
      </c>
      <c r="F145" s="4" t="n">
        <v>6427</v>
      </c>
      <c r="G145" s="4" t="n">
        <v>0.234</v>
      </c>
      <c r="H145" s="4" t="n">
        <v>14</v>
      </c>
      <c r="I145" s="4" t="n">
        <v>88.8</v>
      </c>
      <c r="J145" s="6" t="n">
        <v>0.77</v>
      </c>
      <c r="K145" s="4" t="n">
        <v>0</v>
      </c>
      <c r="L145" s="6" t="n">
        <v>4.1</v>
      </c>
      <c r="M145" s="5" t="n">
        <v>715890.53</v>
      </c>
      <c r="N145" s="5" t="n">
        <v>109032.15</v>
      </c>
    </row>
    <row r="146" customFormat="false" ht="15" hidden="false" customHeight="false" outlineLevel="0" collapsed="false">
      <c r="A146" s="7" t="s">
        <v>63</v>
      </c>
      <c r="B146" s="7" t="s">
        <v>20</v>
      </c>
      <c r="C146" s="7" t="s">
        <v>33</v>
      </c>
      <c r="D146" s="7" t="s">
        <v>24</v>
      </c>
      <c r="E146" s="8" t="n">
        <v>45706.49</v>
      </c>
      <c r="F146" s="7" t="n">
        <v>6704</v>
      </c>
      <c r="G146" s="7" t="n">
        <v>0.038</v>
      </c>
      <c r="H146" s="7" t="n">
        <v>15</v>
      </c>
      <c r="I146" s="7" t="n">
        <v>94.2</v>
      </c>
      <c r="J146" s="9" t="n">
        <v>2.92</v>
      </c>
      <c r="K146" s="7" t="n">
        <v>0</v>
      </c>
      <c r="L146" s="9" t="n">
        <v>4.2</v>
      </c>
      <c r="M146" s="8" t="n">
        <v>715097.57</v>
      </c>
      <c r="N146" s="8" t="n">
        <v>151875.86</v>
      </c>
    </row>
    <row r="147" customFormat="false" ht="15" hidden="false" customHeight="false" outlineLevel="0" collapsed="false">
      <c r="A147" s="4" t="s">
        <v>63</v>
      </c>
      <c r="B147" s="4" t="s">
        <v>21</v>
      </c>
      <c r="C147" s="4" t="s">
        <v>33</v>
      </c>
      <c r="D147" s="4" t="s">
        <v>24</v>
      </c>
      <c r="E147" s="5" t="n">
        <v>44034.6</v>
      </c>
      <c r="F147" s="4" t="n">
        <v>5645</v>
      </c>
      <c r="G147" s="4" t="n">
        <v>0.069</v>
      </c>
      <c r="H147" s="4" t="n">
        <v>18</v>
      </c>
      <c r="I147" s="4" t="n">
        <v>88.5</v>
      </c>
      <c r="J147" s="6" t="n">
        <v>3.07</v>
      </c>
      <c r="K147" s="4" t="n">
        <v>0</v>
      </c>
      <c r="L147" s="6" t="n">
        <v>3.8</v>
      </c>
      <c r="M147" s="5" t="n">
        <v>682639.28</v>
      </c>
      <c r="N147" s="5" t="n">
        <v>77557.53</v>
      </c>
    </row>
    <row r="148" customFormat="false" ht="15" hidden="false" customHeight="false" outlineLevel="0" collapsed="false">
      <c r="A148" s="7" t="s">
        <v>63</v>
      </c>
      <c r="B148" s="7" t="s">
        <v>22</v>
      </c>
      <c r="C148" s="7" t="s">
        <v>33</v>
      </c>
      <c r="D148" s="7" t="s">
        <v>24</v>
      </c>
      <c r="E148" s="8" t="n">
        <v>50198.12</v>
      </c>
      <c r="F148" s="7" t="n">
        <v>6089</v>
      </c>
      <c r="G148" s="7" t="n">
        <v>0.182</v>
      </c>
      <c r="H148" s="7" t="n">
        <v>19</v>
      </c>
      <c r="I148" s="7" t="n">
        <v>94</v>
      </c>
      <c r="J148" s="9" t="n">
        <v>9.7</v>
      </c>
      <c r="K148" s="7" t="n">
        <v>0</v>
      </c>
      <c r="L148" s="9" t="n">
        <v>3.9</v>
      </c>
      <c r="M148" s="8" t="n">
        <v>695098.51</v>
      </c>
      <c r="N148" s="8" t="n">
        <v>108192.75</v>
      </c>
    </row>
    <row r="149" customFormat="false" ht="15" hidden="false" customHeight="false" outlineLevel="0" collapsed="false">
      <c r="A149" s="4" t="s">
        <v>64</v>
      </c>
      <c r="B149" s="4" t="s">
        <v>17</v>
      </c>
      <c r="C149" s="4" t="s">
        <v>26</v>
      </c>
      <c r="D149" s="4" t="s">
        <v>19</v>
      </c>
      <c r="E149" s="5" t="n">
        <v>70488.2</v>
      </c>
      <c r="F149" s="4" t="n">
        <v>4312</v>
      </c>
      <c r="G149" s="4" t="n">
        <v>0.169</v>
      </c>
      <c r="H149" s="4" t="n">
        <v>12</v>
      </c>
      <c r="I149" s="4" t="n">
        <v>90.2</v>
      </c>
      <c r="J149" s="6" t="n">
        <v>3.71</v>
      </c>
      <c r="K149" s="4" t="n">
        <v>0</v>
      </c>
      <c r="L149" s="6" t="n">
        <v>3.2</v>
      </c>
      <c r="M149" s="5" t="n">
        <v>577732.57</v>
      </c>
      <c r="N149" s="5" t="n">
        <v>93804.27</v>
      </c>
    </row>
    <row r="150" customFormat="false" ht="15" hidden="false" customHeight="false" outlineLevel="0" collapsed="false">
      <c r="A150" s="7" t="s">
        <v>64</v>
      </c>
      <c r="B150" s="7" t="s">
        <v>20</v>
      </c>
      <c r="C150" s="7" t="s">
        <v>26</v>
      </c>
      <c r="D150" s="7" t="s">
        <v>19</v>
      </c>
      <c r="E150" s="8" t="n">
        <v>50909.27</v>
      </c>
      <c r="F150" s="7" t="n">
        <v>3152</v>
      </c>
      <c r="G150" s="7" t="n">
        <v>0.06</v>
      </c>
      <c r="H150" s="7" t="n">
        <v>13</v>
      </c>
      <c r="I150" s="7" t="n">
        <v>93.7</v>
      </c>
      <c r="J150" s="9" t="n">
        <v>10.79</v>
      </c>
      <c r="K150" s="7" t="n">
        <v>0</v>
      </c>
      <c r="L150" s="9" t="n">
        <v>3.5</v>
      </c>
      <c r="M150" s="8" t="n">
        <v>537058.33</v>
      </c>
      <c r="N150" s="8" t="n">
        <v>93555.71</v>
      </c>
    </row>
    <row r="151" customFormat="false" ht="15" hidden="false" customHeight="false" outlineLevel="0" collapsed="false">
      <c r="A151" s="4" t="s">
        <v>64</v>
      </c>
      <c r="B151" s="4" t="s">
        <v>21</v>
      </c>
      <c r="C151" s="4" t="s">
        <v>26</v>
      </c>
      <c r="D151" s="4" t="s">
        <v>19</v>
      </c>
      <c r="E151" s="5" t="n">
        <v>53351.7</v>
      </c>
      <c r="F151" s="4" t="n">
        <v>4259</v>
      </c>
      <c r="G151" s="4" t="n">
        <v>0.156</v>
      </c>
      <c r="H151" s="4" t="n">
        <v>15</v>
      </c>
      <c r="I151" s="4" t="n">
        <v>93.7</v>
      </c>
      <c r="J151" s="6" t="n">
        <v>6.03</v>
      </c>
      <c r="K151" s="4" t="n">
        <v>0</v>
      </c>
      <c r="L151" s="6" t="n">
        <v>3.4</v>
      </c>
      <c r="M151" s="5" t="n">
        <v>601568.87</v>
      </c>
      <c r="N151" s="5" t="n">
        <v>91634.82</v>
      </c>
    </row>
    <row r="152" customFormat="false" ht="15" hidden="false" customHeight="false" outlineLevel="0" collapsed="false">
      <c r="A152" s="7" t="s">
        <v>64</v>
      </c>
      <c r="B152" s="7" t="s">
        <v>22</v>
      </c>
      <c r="C152" s="7" t="s">
        <v>26</v>
      </c>
      <c r="D152" s="7" t="s">
        <v>19</v>
      </c>
      <c r="E152" s="8" t="n">
        <v>60322.4</v>
      </c>
      <c r="F152" s="7" t="n">
        <v>3350</v>
      </c>
      <c r="G152" s="7" t="n">
        <v>0.108</v>
      </c>
      <c r="H152" s="7" t="n">
        <v>12</v>
      </c>
      <c r="I152" s="7" t="n">
        <v>89.4</v>
      </c>
      <c r="J152" s="9" t="n">
        <v>4.92</v>
      </c>
      <c r="K152" s="7" t="n">
        <v>0</v>
      </c>
      <c r="L152" s="9" t="n">
        <v>3.4</v>
      </c>
      <c r="M152" s="8" t="n">
        <v>570964.84</v>
      </c>
      <c r="N152" s="8" t="n">
        <v>81331.07</v>
      </c>
    </row>
    <row r="153" customFormat="false" ht="15" hidden="false" customHeight="false" outlineLevel="0" collapsed="false">
      <c r="A153" s="4" t="s">
        <v>65</v>
      </c>
      <c r="B153" s="4" t="s">
        <v>17</v>
      </c>
      <c r="C153" s="4" t="s">
        <v>30</v>
      </c>
      <c r="D153" s="4" t="s">
        <v>34</v>
      </c>
      <c r="E153" s="5" t="n">
        <v>51575.68</v>
      </c>
      <c r="F153" s="4" t="n">
        <v>5329</v>
      </c>
      <c r="G153" s="4" t="n">
        <v>0.047</v>
      </c>
      <c r="H153" s="4" t="n">
        <v>17</v>
      </c>
      <c r="I153" s="4" t="n">
        <v>88.1</v>
      </c>
      <c r="J153" s="6" t="n">
        <v>19.78</v>
      </c>
      <c r="K153" s="4" t="n">
        <v>0</v>
      </c>
      <c r="L153" s="6" t="n">
        <v>3.8</v>
      </c>
      <c r="M153" s="5" t="n">
        <v>614024.91</v>
      </c>
      <c r="N153" s="5" t="n">
        <v>84828.93</v>
      </c>
    </row>
    <row r="154" customFormat="false" ht="15" hidden="false" customHeight="false" outlineLevel="0" collapsed="false">
      <c r="A154" s="7" t="s">
        <v>65</v>
      </c>
      <c r="B154" s="7" t="s">
        <v>20</v>
      </c>
      <c r="C154" s="7" t="s">
        <v>30</v>
      </c>
      <c r="D154" s="7" t="s">
        <v>34</v>
      </c>
      <c r="E154" s="8" t="n">
        <v>43319.94</v>
      </c>
      <c r="F154" s="7" t="n">
        <v>6551</v>
      </c>
      <c r="G154" s="7" t="n">
        <v>0.044</v>
      </c>
      <c r="H154" s="7" t="n">
        <v>13</v>
      </c>
      <c r="I154" s="7" t="n">
        <v>99</v>
      </c>
      <c r="J154" s="9" t="n">
        <v>5.45</v>
      </c>
      <c r="K154" s="7" t="n">
        <v>0</v>
      </c>
      <c r="L154" s="9" t="n">
        <v>4.1</v>
      </c>
      <c r="M154" s="8" t="n">
        <v>712868.35</v>
      </c>
      <c r="N154" s="8" t="n">
        <v>133650.51</v>
      </c>
    </row>
    <row r="155" customFormat="false" ht="15" hidden="false" customHeight="false" outlineLevel="0" collapsed="false">
      <c r="A155" s="4" t="s">
        <v>65</v>
      </c>
      <c r="B155" s="4" t="s">
        <v>21</v>
      </c>
      <c r="C155" s="4" t="s">
        <v>30</v>
      </c>
      <c r="D155" s="4" t="s">
        <v>34</v>
      </c>
      <c r="E155" s="5" t="n">
        <v>47093.55</v>
      </c>
      <c r="F155" s="4" t="n">
        <v>5550</v>
      </c>
      <c r="G155" s="4" t="n">
        <v>0.1</v>
      </c>
      <c r="H155" s="4" t="n">
        <v>12</v>
      </c>
      <c r="I155" s="4" t="n">
        <v>95</v>
      </c>
      <c r="J155" s="6" t="n">
        <v>2.33</v>
      </c>
      <c r="K155" s="4" t="n">
        <v>1</v>
      </c>
      <c r="L155" s="6" t="n">
        <v>3.7</v>
      </c>
      <c r="M155" s="5" t="n">
        <v>696744.15</v>
      </c>
      <c r="N155" s="5" t="n">
        <v>152230.09</v>
      </c>
    </row>
    <row r="156" customFormat="false" ht="15" hidden="false" customHeight="false" outlineLevel="0" collapsed="false">
      <c r="A156" s="7" t="s">
        <v>65</v>
      </c>
      <c r="B156" s="7" t="s">
        <v>22</v>
      </c>
      <c r="C156" s="7" t="s">
        <v>30</v>
      </c>
      <c r="D156" s="7" t="s">
        <v>34</v>
      </c>
      <c r="E156" s="8" t="n">
        <v>71855.09</v>
      </c>
      <c r="F156" s="7" t="n">
        <v>5911</v>
      </c>
      <c r="G156" s="7" t="n">
        <v>0.197</v>
      </c>
      <c r="H156" s="7" t="n">
        <v>15</v>
      </c>
      <c r="I156" s="7" t="n">
        <v>94.3</v>
      </c>
      <c r="J156" s="9" t="n">
        <v>3.55</v>
      </c>
      <c r="K156" s="7" t="n">
        <v>0</v>
      </c>
      <c r="L156" s="9" t="n">
        <v>4.1</v>
      </c>
      <c r="M156" s="8" t="n">
        <v>725847.99</v>
      </c>
      <c r="N156" s="8" t="n">
        <v>122698.73</v>
      </c>
    </row>
    <row r="157" customFormat="false" ht="15" hidden="false" customHeight="false" outlineLevel="0" collapsed="false">
      <c r="A157" s="4" t="s">
        <v>66</v>
      </c>
      <c r="B157" s="4" t="s">
        <v>17</v>
      </c>
      <c r="C157" s="4" t="s">
        <v>18</v>
      </c>
      <c r="D157" s="4" t="s">
        <v>24</v>
      </c>
      <c r="E157" s="5" t="n">
        <v>75645.23</v>
      </c>
      <c r="F157" s="4" t="n">
        <v>9674</v>
      </c>
      <c r="G157" s="4" t="n">
        <v>0.234</v>
      </c>
      <c r="H157" s="4" t="n">
        <v>21</v>
      </c>
      <c r="I157" s="4" t="n">
        <v>87.4</v>
      </c>
      <c r="J157" s="6" t="n">
        <v>0.2</v>
      </c>
      <c r="K157" s="4" t="n">
        <v>0</v>
      </c>
      <c r="L157" s="6" t="n">
        <v>4.5</v>
      </c>
      <c r="M157" s="5" t="n">
        <v>785028.25</v>
      </c>
      <c r="N157" s="5" t="n">
        <v>110726.44</v>
      </c>
    </row>
    <row r="158" customFormat="false" ht="15" hidden="false" customHeight="false" outlineLevel="0" collapsed="false">
      <c r="A158" s="7" t="s">
        <v>66</v>
      </c>
      <c r="B158" s="7" t="s">
        <v>20</v>
      </c>
      <c r="C158" s="7" t="s">
        <v>18</v>
      </c>
      <c r="D158" s="7" t="s">
        <v>24</v>
      </c>
      <c r="E158" s="8" t="n">
        <v>64374.75</v>
      </c>
      <c r="F158" s="7" t="n">
        <v>6740</v>
      </c>
      <c r="G158" s="7" t="n">
        <v>0.169</v>
      </c>
      <c r="H158" s="7" t="n">
        <v>18</v>
      </c>
      <c r="I158" s="7" t="n">
        <v>87</v>
      </c>
      <c r="J158" s="9" t="n">
        <v>2.09</v>
      </c>
      <c r="K158" s="7" t="n">
        <v>0</v>
      </c>
      <c r="L158" s="9" t="n">
        <v>4.2</v>
      </c>
      <c r="M158" s="8" t="n">
        <v>698492.67</v>
      </c>
      <c r="N158" s="8" t="n">
        <v>117319.32</v>
      </c>
    </row>
    <row r="159" customFormat="false" ht="15" hidden="false" customHeight="false" outlineLevel="0" collapsed="false">
      <c r="A159" s="4" t="s">
        <v>66</v>
      </c>
      <c r="B159" s="4" t="s">
        <v>21</v>
      </c>
      <c r="C159" s="4" t="s">
        <v>18</v>
      </c>
      <c r="D159" s="4" t="s">
        <v>24</v>
      </c>
      <c r="E159" s="5" t="n">
        <v>61433.84</v>
      </c>
      <c r="F159" s="4" t="n">
        <v>7745</v>
      </c>
      <c r="G159" s="4" t="n">
        <v>0.18</v>
      </c>
      <c r="H159" s="4" t="n">
        <v>16</v>
      </c>
      <c r="I159" s="4" t="n">
        <v>90.5</v>
      </c>
      <c r="J159" s="6" t="n">
        <v>2.26</v>
      </c>
      <c r="K159" s="4" t="n">
        <v>0</v>
      </c>
      <c r="L159" s="6" t="n">
        <v>4.2</v>
      </c>
      <c r="M159" s="5" t="n">
        <v>685830.24</v>
      </c>
      <c r="N159" s="5" t="n">
        <v>128736.18</v>
      </c>
    </row>
    <row r="160" customFormat="false" ht="15" hidden="false" customHeight="false" outlineLevel="0" collapsed="false">
      <c r="A160" s="7" t="s">
        <v>66</v>
      </c>
      <c r="B160" s="7" t="s">
        <v>22</v>
      </c>
      <c r="C160" s="7" t="s">
        <v>18</v>
      </c>
      <c r="D160" s="7" t="s">
        <v>24</v>
      </c>
      <c r="E160" s="8" t="n">
        <v>42698.14</v>
      </c>
      <c r="F160" s="7" t="n">
        <v>7693</v>
      </c>
      <c r="G160" s="7" t="n">
        <v>0.187</v>
      </c>
      <c r="H160" s="7" t="n">
        <v>19</v>
      </c>
      <c r="I160" s="7" t="n">
        <v>90.1</v>
      </c>
      <c r="J160" s="9" t="n">
        <v>0.44</v>
      </c>
      <c r="K160" s="7" t="n">
        <v>0</v>
      </c>
      <c r="L160" s="9" t="n">
        <v>4.4</v>
      </c>
      <c r="M160" s="8" t="n">
        <v>702318.94</v>
      </c>
      <c r="N160" s="8" t="n">
        <v>112829.29</v>
      </c>
    </row>
    <row r="161" customFormat="false" ht="15" hidden="false" customHeight="false" outlineLevel="0" collapsed="false">
      <c r="A161" s="4" t="s">
        <v>67</v>
      </c>
      <c r="B161" s="4" t="s">
        <v>17</v>
      </c>
      <c r="C161" s="4" t="s">
        <v>26</v>
      </c>
      <c r="D161" s="4" t="s">
        <v>34</v>
      </c>
      <c r="E161" s="5" t="n">
        <v>86883.31</v>
      </c>
      <c r="F161" s="4" t="n">
        <v>6424</v>
      </c>
      <c r="G161" s="4" t="n">
        <v>0.057</v>
      </c>
      <c r="H161" s="4" t="n">
        <v>19</v>
      </c>
      <c r="I161" s="4" t="n">
        <v>85.2</v>
      </c>
      <c r="J161" s="6" t="n">
        <v>3.08</v>
      </c>
      <c r="K161" s="4" t="n">
        <v>0</v>
      </c>
      <c r="L161" s="6" t="n">
        <v>3.9</v>
      </c>
      <c r="M161" s="5" t="n">
        <v>700078.32</v>
      </c>
      <c r="N161" s="5" t="n">
        <v>123707.58</v>
      </c>
    </row>
    <row r="162" customFormat="false" ht="15" hidden="false" customHeight="false" outlineLevel="0" collapsed="false">
      <c r="A162" s="7" t="s">
        <v>67</v>
      </c>
      <c r="B162" s="7" t="s">
        <v>20</v>
      </c>
      <c r="C162" s="7" t="s">
        <v>26</v>
      </c>
      <c r="D162" s="7" t="s">
        <v>34</v>
      </c>
      <c r="E162" s="8" t="n">
        <v>41863.08</v>
      </c>
      <c r="F162" s="7" t="n">
        <v>5400</v>
      </c>
      <c r="G162" s="7" t="n">
        <v>0.114</v>
      </c>
      <c r="H162" s="7" t="n">
        <v>11</v>
      </c>
      <c r="I162" s="7" t="n">
        <v>91.6</v>
      </c>
      <c r="J162" s="9" t="n">
        <v>7.99</v>
      </c>
      <c r="K162" s="7" t="n">
        <v>0</v>
      </c>
      <c r="L162" s="9" t="n">
        <v>3</v>
      </c>
      <c r="M162" s="8" t="n">
        <v>602002.32</v>
      </c>
      <c r="N162" s="8" t="n">
        <v>110453.28</v>
      </c>
    </row>
    <row r="163" customFormat="false" ht="15" hidden="false" customHeight="false" outlineLevel="0" collapsed="false">
      <c r="A163" s="4" t="s">
        <v>67</v>
      </c>
      <c r="B163" s="4" t="s">
        <v>21</v>
      </c>
      <c r="C163" s="4" t="s">
        <v>26</v>
      </c>
      <c r="D163" s="4" t="s">
        <v>34</v>
      </c>
      <c r="E163" s="5" t="n">
        <v>56918.16</v>
      </c>
      <c r="F163" s="4" t="n">
        <v>7015</v>
      </c>
      <c r="G163" s="4" t="n">
        <v>0.158</v>
      </c>
      <c r="H163" s="4" t="n">
        <v>18</v>
      </c>
      <c r="I163" s="4" t="n">
        <v>74.2</v>
      </c>
      <c r="J163" s="6" t="n">
        <v>0.2</v>
      </c>
      <c r="K163" s="4" t="n">
        <v>0</v>
      </c>
      <c r="L163" s="6" t="n">
        <v>3.4</v>
      </c>
      <c r="M163" s="5" t="n">
        <v>724216.07</v>
      </c>
      <c r="N163" s="5" t="n">
        <v>100627.56</v>
      </c>
    </row>
    <row r="164" customFormat="false" ht="15" hidden="false" customHeight="false" outlineLevel="0" collapsed="false">
      <c r="A164" s="7" t="s">
        <v>67</v>
      </c>
      <c r="B164" s="7" t="s">
        <v>22</v>
      </c>
      <c r="C164" s="7" t="s">
        <v>26</v>
      </c>
      <c r="D164" s="7" t="s">
        <v>34</v>
      </c>
      <c r="E164" s="8" t="n">
        <v>23254.57</v>
      </c>
      <c r="F164" s="7" t="n">
        <v>3847</v>
      </c>
      <c r="G164" s="7" t="n">
        <v>0.159</v>
      </c>
      <c r="H164" s="7" t="n">
        <v>12</v>
      </c>
      <c r="I164" s="7" t="n">
        <v>93</v>
      </c>
      <c r="J164" s="9" t="n">
        <v>5.46</v>
      </c>
      <c r="K164" s="7" t="n">
        <v>0</v>
      </c>
      <c r="L164" s="9" t="n">
        <v>3.3</v>
      </c>
      <c r="M164" s="8" t="n">
        <v>620973.03</v>
      </c>
      <c r="N164" s="8" t="n">
        <v>72303.85</v>
      </c>
    </row>
    <row r="165" customFormat="false" ht="15" hidden="false" customHeight="false" outlineLevel="0" collapsed="false">
      <c r="A165" s="4" t="s">
        <v>68</v>
      </c>
      <c r="B165" s="4" t="s">
        <v>17</v>
      </c>
      <c r="C165" s="4" t="s">
        <v>30</v>
      </c>
      <c r="D165" s="4" t="s">
        <v>24</v>
      </c>
      <c r="E165" s="5" t="n">
        <v>41443.41</v>
      </c>
      <c r="F165" s="4" t="n">
        <v>7455</v>
      </c>
      <c r="G165" s="4" t="n">
        <v>0.175</v>
      </c>
      <c r="H165" s="4" t="n">
        <v>16</v>
      </c>
      <c r="I165" s="4" t="n">
        <v>90.1</v>
      </c>
      <c r="J165" s="6" t="n">
        <v>4.05</v>
      </c>
      <c r="K165" s="4" t="n">
        <v>0</v>
      </c>
      <c r="L165" s="6" t="n">
        <v>4</v>
      </c>
      <c r="M165" s="5" t="n">
        <v>650480.06</v>
      </c>
      <c r="N165" s="5" t="n">
        <v>109012.07</v>
      </c>
    </row>
    <row r="166" customFormat="false" ht="15" hidden="false" customHeight="false" outlineLevel="0" collapsed="false">
      <c r="A166" s="7" t="s">
        <v>68</v>
      </c>
      <c r="B166" s="7" t="s">
        <v>20</v>
      </c>
      <c r="C166" s="7" t="s">
        <v>30</v>
      </c>
      <c r="D166" s="7" t="s">
        <v>24</v>
      </c>
      <c r="E166" s="8" t="n">
        <v>48438.85</v>
      </c>
      <c r="F166" s="7" t="n">
        <v>6992</v>
      </c>
      <c r="G166" s="7" t="n">
        <v>0.034</v>
      </c>
      <c r="H166" s="7" t="n">
        <v>20</v>
      </c>
      <c r="I166" s="7" t="n">
        <v>91</v>
      </c>
      <c r="J166" s="9" t="n">
        <v>4.36</v>
      </c>
      <c r="K166" s="7" t="n">
        <v>0</v>
      </c>
      <c r="L166" s="9" t="n">
        <v>4.2</v>
      </c>
      <c r="M166" s="8" t="n">
        <v>778298.88</v>
      </c>
      <c r="N166" s="8" t="n">
        <v>130076.72</v>
      </c>
    </row>
    <row r="167" customFormat="false" ht="15" hidden="false" customHeight="false" outlineLevel="0" collapsed="false">
      <c r="A167" s="4" t="s">
        <v>68</v>
      </c>
      <c r="B167" s="4" t="s">
        <v>21</v>
      </c>
      <c r="C167" s="4" t="s">
        <v>30</v>
      </c>
      <c r="D167" s="4" t="s">
        <v>24</v>
      </c>
      <c r="E167" s="5" t="n">
        <v>57143.3</v>
      </c>
      <c r="F167" s="4" t="n">
        <v>8038</v>
      </c>
      <c r="G167" s="4" t="n">
        <v>0.193</v>
      </c>
      <c r="H167" s="4" t="n">
        <v>17</v>
      </c>
      <c r="I167" s="4" t="n">
        <v>72.6</v>
      </c>
      <c r="J167" s="6"/>
      <c r="K167" s="4" t="n">
        <v>0</v>
      </c>
      <c r="L167" s="6" t="n">
        <v>4.2</v>
      </c>
      <c r="M167" s="5" t="n">
        <v>677096.71</v>
      </c>
      <c r="N167" s="5" t="n">
        <v>97174.11</v>
      </c>
    </row>
    <row r="168" customFormat="false" ht="15" hidden="false" customHeight="false" outlineLevel="0" collapsed="false">
      <c r="A168" s="7" t="s">
        <v>68</v>
      </c>
      <c r="B168" s="7" t="s">
        <v>22</v>
      </c>
      <c r="C168" s="7" t="s">
        <v>30</v>
      </c>
      <c r="D168" s="7" t="s">
        <v>24</v>
      </c>
      <c r="E168" s="8" t="n">
        <v>66870.62</v>
      </c>
      <c r="F168" s="7" t="n">
        <v>6055</v>
      </c>
      <c r="G168" s="7" t="n">
        <v>0.075</v>
      </c>
      <c r="H168" s="7" t="n">
        <v>19</v>
      </c>
      <c r="I168" s="7" t="n">
        <v>93.8</v>
      </c>
      <c r="J168" s="9" t="n">
        <v>0.54</v>
      </c>
      <c r="K168" s="7" t="n">
        <v>0</v>
      </c>
      <c r="L168" s="9" t="n">
        <v>4.3</v>
      </c>
      <c r="M168" s="8" t="n">
        <v>692008.64</v>
      </c>
      <c r="N168" s="8" t="n">
        <v>116337.87</v>
      </c>
    </row>
    <row r="169" customFormat="false" ht="15" hidden="false" customHeight="false" outlineLevel="0" collapsed="false">
      <c r="A169" s="4" t="s">
        <v>69</v>
      </c>
      <c r="B169" s="4" t="s">
        <v>17</v>
      </c>
      <c r="C169" s="4" t="s">
        <v>26</v>
      </c>
      <c r="D169" s="4" t="s">
        <v>34</v>
      </c>
      <c r="E169" s="5" t="n">
        <v>72150.53</v>
      </c>
      <c r="F169" s="4" t="n">
        <v>9323</v>
      </c>
      <c r="G169" s="4" t="n">
        <v>0.157</v>
      </c>
      <c r="H169" s="4" t="n">
        <v>22</v>
      </c>
      <c r="I169" s="4" t="n">
        <v>82.9</v>
      </c>
      <c r="J169" s="6" t="n">
        <v>11.37</v>
      </c>
      <c r="K169" s="4" t="n">
        <v>1</v>
      </c>
      <c r="L169" s="6" t="n">
        <v>4.3</v>
      </c>
      <c r="M169" s="5" t="n">
        <v>825797.91</v>
      </c>
      <c r="N169" s="5" t="n">
        <v>130945.24</v>
      </c>
    </row>
    <row r="170" customFormat="false" ht="15" hidden="false" customHeight="false" outlineLevel="0" collapsed="false">
      <c r="A170" s="7" t="s">
        <v>69</v>
      </c>
      <c r="B170" s="7" t="s">
        <v>20</v>
      </c>
      <c r="C170" s="7" t="s">
        <v>26</v>
      </c>
      <c r="D170" s="7" t="s">
        <v>34</v>
      </c>
      <c r="E170" s="8" t="n">
        <v>35303.3</v>
      </c>
      <c r="F170" s="7" t="n">
        <v>8789</v>
      </c>
      <c r="G170" s="7" t="n">
        <v>0.123</v>
      </c>
      <c r="H170" s="7" t="n">
        <v>22</v>
      </c>
      <c r="I170" s="7" t="n">
        <v>86.1</v>
      </c>
      <c r="J170" s="9" t="n">
        <v>9.43</v>
      </c>
      <c r="K170" s="7" t="n">
        <v>0</v>
      </c>
      <c r="L170" s="9" t="n">
        <v>4.2</v>
      </c>
      <c r="M170" s="8" t="n">
        <v>706285.52</v>
      </c>
      <c r="N170" s="8" t="n">
        <v>138014.72</v>
      </c>
    </row>
    <row r="171" customFormat="false" ht="15" hidden="false" customHeight="false" outlineLevel="0" collapsed="false">
      <c r="A171" s="4" t="s">
        <v>69</v>
      </c>
      <c r="B171" s="4" t="s">
        <v>21</v>
      </c>
      <c r="C171" s="4" t="s">
        <v>26</v>
      </c>
      <c r="D171" s="4" t="s">
        <v>34</v>
      </c>
      <c r="E171" s="5" t="n">
        <v>30301.86</v>
      </c>
      <c r="F171" s="4" t="n">
        <v>6939</v>
      </c>
      <c r="G171" s="4" t="n">
        <v>0.09</v>
      </c>
      <c r="H171" s="4" t="n">
        <v>16</v>
      </c>
      <c r="I171" s="4" t="n">
        <v>90.3</v>
      </c>
      <c r="J171" s="6" t="n">
        <v>3.49</v>
      </c>
      <c r="K171" s="4" t="n">
        <v>0</v>
      </c>
      <c r="L171" s="6" t="n">
        <v>4</v>
      </c>
      <c r="M171" s="5" t="n">
        <v>665534.7</v>
      </c>
      <c r="N171" s="5" t="n">
        <v>113167.73</v>
      </c>
    </row>
    <row r="172" customFormat="false" ht="15" hidden="false" customHeight="false" outlineLevel="0" collapsed="false">
      <c r="A172" s="7" t="s">
        <v>69</v>
      </c>
      <c r="B172" s="7" t="s">
        <v>22</v>
      </c>
      <c r="C172" s="7" t="s">
        <v>26</v>
      </c>
      <c r="D172" s="7" t="s">
        <v>34</v>
      </c>
      <c r="E172" s="8" t="n">
        <v>78432.14</v>
      </c>
      <c r="F172" s="7" t="n">
        <v>9440</v>
      </c>
      <c r="G172" s="7" t="n">
        <v>0.126</v>
      </c>
      <c r="H172" s="7" t="n">
        <v>23</v>
      </c>
      <c r="I172" s="7" t="n">
        <v>89.2</v>
      </c>
      <c r="J172" s="9" t="n">
        <v>7.86</v>
      </c>
      <c r="K172" s="7" t="n">
        <v>0</v>
      </c>
      <c r="L172" s="9" t="n">
        <v>4.1</v>
      </c>
      <c r="M172" s="8" t="n">
        <v>820729.29</v>
      </c>
      <c r="N172" s="8" t="n">
        <v>159325.47</v>
      </c>
    </row>
    <row r="173" customFormat="false" ht="15" hidden="false" customHeight="false" outlineLevel="0" collapsed="false">
      <c r="A173" s="4" t="s">
        <v>70</v>
      </c>
      <c r="B173" s="4" t="s">
        <v>17</v>
      </c>
      <c r="C173" s="4" t="s">
        <v>18</v>
      </c>
      <c r="D173" s="4" t="s">
        <v>19</v>
      </c>
      <c r="E173" s="5" t="n">
        <v>62059.18</v>
      </c>
      <c r="F173" s="4" t="n">
        <v>9374</v>
      </c>
      <c r="G173" s="4" t="n">
        <v>0.136</v>
      </c>
      <c r="H173" s="4" t="n">
        <v>25</v>
      </c>
      <c r="I173" s="4" t="n">
        <v>87.1</v>
      </c>
      <c r="J173" s="6" t="n">
        <v>12.55</v>
      </c>
      <c r="K173" s="4" t="n">
        <v>0</v>
      </c>
      <c r="L173" s="6" t="n">
        <v>4.9</v>
      </c>
      <c r="M173" s="5" t="n">
        <v>739831.73</v>
      </c>
      <c r="N173" s="5" t="n">
        <v>119490.21</v>
      </c>
    </row>
    <row r="174" customFormat="false" ht="15" hidden="false" customHeight="false" outlineLevel="0" collapsed="false">
      <c r="A174" s="7" t="s">
        <v>70</v>
      </c>
      <c r="B174" s="7" t="s">
        <v>20</v>
      </c>
      <c r="C174" s="7" t="s">
        <v>18</v>
      </c>
      <c r="D174" s="7" t="s">
        <v>19</v>
      </c>
      <c r="E174" s="8" t="n">
        <v>32834.48</v>
      </c>
      <c r="F174" s="7" t="n">
        <v>7576</v>
      </c>
      <c r="G174" s="7" t="n">
        <v>0.099</v>
      </c>
      <c r="H174" s="7" t="n">
        <v>15</v>
      </c>
      <c r="I174" s="7" t="n">
        <v>84.1</v>
      </c>
      <c r="J174" s="9" t="n">
        <v>3.48</v>
      </c>
      <c r="K174" s="7" t="n">
        <v>0</v>
      </c>
      <c r="L174" s="9" t="n">
        <v>5</v>
      </c>
      <c r="M174" s="8" t="n">
        <v>593637.14</v>
      </c>
      <c r="N174" s="8" t="n">
        <v>106648.14</v>
      </c>
    </row>
    <row r="175" customFormat="false" ht="15" hidden="false" customHeight="false" outlineLevel="0" collapsed="false">
      <c r="A175" s="4" t="s">
        <v>70</v>
      </c>
      <c r="B175" s="4" t="s">
        <v>21</v>
      </c>
      <c r="C175" s="4" t="s">
        <v>18</v>
      </c>
      <c r="D175" s="4" t="s">
        <v>19</v>
      </c>
      <c r="E175" s="5" t="n">
        <v>50825.08</v>
      </c>
      <c r="F175" s="4" t="n">
        <v>8949</v>
      </c>
      <c r="G175" s="4" t="n">
        <v>0.157</v>
      </c>
      <c r="H175" s="4" t="n">
        <v>21</v>
      </c>
      <c r="I175" s="4" t="n">
        <v>84.7</v>
      </c>
      <c r="J175" s="6" t="n">
        <v>7.73</v>
      </c>
      <c r="K175" s="4" t="n">
        <v>0</v>
      </c>
      <c r="L175" s="6" t="n">
        <v>4.9</v>
      </c>
      <c r="M175" s="5" t="n">
        <v>769702.76</v>
      </c>
      <c r="N175" s="5" t="n">
        <v>158697</v>
      </c>
    </row>
    <row r="176" customFormat="false" ht="15" hidden="false" customHeight="false" outlineLevel="0" collapsed="false">
      <c r="A176" s="7" t="s">
        <v>70</v>
      </c>
      <c r="B176" s="7" t="s">
        <v>22</v>
      </c>
      <c r="C176" s="7" t="s">
        <v>18</v>
      </c>
      <c r="D176" s="7" t="s">
        <v>19</v>
      </c>
      <c r="E176" s="8" t="n">
        <v>36606.51</v>
      </c>
      <c r="F176" s="7" t="n">
        <v>7671</v>
      </c>
      <c r="G176" s="7" t="n">
        <v>0.118</v>
      </c>
      <c r="H176" s="7" t="n">
        <v>18</v>
      </c>
      <c r="I176" s="7" t="n">
        <v>89.8</v>
      </c>
      <c r="J176" s="9" t="n">
        <v>0.25</v>
      </c>
      <c r="K176" s="7" t="n">
        <v>0</v>
      </c>
      <c r="L176" s="9" t="n">
        <v>4.4</v>
      </c>
      <c r="M176" s="8" t="n">
        <v>679731.57</v>
      </c>
      <c r="N176" s="8" t="n">
        <v>121546.42</v>
      </c>
    </row>
    <row r="177" customFormat="false" ht="15" hidden="false" customHeight="false" outlineLevel="0" collapsed="false">
      <c r="A177" s="4" t="s">
        <v>71</v>
      </c>
      <c r="B177" s="4" t="s">
        <v>17</v>
      </c>
      <c r="C177" s="4" t="s">
        <v>18</v>
      </c>
      <c r="D177" s="4" t="s">
        <v>19</v>
      </c>
      <c r="E177" s="5" t="n">
        <v>65237.79</v>
      </c>
      <c r="F177" s="4" t="n">
        <v>8741</v>
      </c>
      <c r="G177" s="4" t="n">
        <v>0.157</v>
      </c>
      <c r="H177" s="4" t="n">
        <v>20</v>
      </c>
      <c r="I177" s="4" t="n">
        <v>94.4</v>
      </c>
      <c r="J177" s="6" t="n">
        <v>6.43</v>
      </c>
      <c r="K177" s="4" t="n">
        <v>0</v>
      </c>
      <c r="L177" s="6" t="n">
        <v>3.3</v>
      </c>
      <c r="M177" s="5" t="n">
        <v>780344.18</v>
      </c>
      <c r="N177" s="5" t="n">
        <v>118239.09</v>
      </c>
    </row>
    <row r="178" customFormat="false" ht="15" hidden="false" customHeight="false" outlineLevel="0" collapsed="false">
      <c r="A178" s="7" t="s">
        <v>71</v>
      </c>
      <c r="B178" s="7" t="s">
        <v>20</v>
      </c>
      <c r="C178" s="7" t="s">
        <v>18</v>
      </c>
      <c r="D178" s="7" t="s">
        <v>19</v>
      </c>
      <c r="E178" s="8" t="n">
        <v>43645.98</v>
      </c>
      <c r="F178" s="7" t="n">
        <v>9480</v>
      </c>
      <c r="G178" s="7" t="n">
        <v>0.109</v>
      </c>
      <c r="H178" s="7" t="n">
        <v>22</v>
      </c>
      <c r="I178" s="7" t="n">
        <v>89</v>
      </c>
      <c r="J178" s="9" t="n">
        <v>2.11</v>
      </c>
      <c r="K178" s="7" t="n">
        <v>0</v>
      </c>
      <c r="L178" s="9" t="n">
        <v>3.1</v>
      </c>
      <c r="M178" s="8" t="n">
        <v>721364.11</v>
      </c>
      <c r="N178" s="8" t="n">
        <v>147272.81</v>
      </c>
    </row>
    <row r="179" customFormat="false" ht="15" hidden="false" customHeight="false" outlineLevel="0" collapsed="false">
      <c r="A179" s="4" t="s">
        <v>71</v>
      </c>
      <c r="B179" s="4" t="s">
        <v>21</v>
      </c>
      <c r="C179" s="4" t="s">
        <v>18</v>
      </c>
      <c r="D179" s="4" t="s">
        <v>19</v>
      </c>
      <c r="E179" s="5" t="n">
        <v>68040.15</v>
      </c>
      <c r="F179" s="4" t="n">
        <v>9826</v>
      </c>
      <c r="G179" s="4" t="n">
        <v>0.125</v>
      </c>
      <c r="H179" s="4" t="n">
        <v>20</v>
      </c>
      <c r="I179" s="4" t="n">
        <v>83.9</v>
      </c>
      <c r="J179" s="6" t="n">
        <v>9.12</v>
      </c>
      <c r="K179" s="4" t="n">
        <v>0</v>
      </c>
      <c r="L179" s="6" t="n">
        <v>3.6</v>
      </c>
      <c r="M179" s="5" t="n">
        <v>758138.29</v>
      </c>
      <c r="N179" s="5" t="n">
        <v>132975.26</v>
      </c>
    </row>
    <row r="180" customFormat="false" ht="15" hidden="false" customHeight="false" outlineLevel="0" collapsed="false">
      <c r="A180" s="7" t="s">
        <v>71</v>
      </c>
      <c r="B180" s="7" t="s">
        <v>22</v>
      </c>
      <c r="C180" s="7" t="s">
        <v>18</v>
      </c>
      <c r="D180" s="7" t="s">
        <v>19</v>
      </c>
      <c r="E180" s="8" t="n">
        <v>63043.94</v>
      </c>
      <c r="F180" s="7" t="n">
        <v>10402</v>
      </c>
      <c r="G180" s="7" t="n">
        <v>0.159</v>
      </c>
      <c r="H180" s="7" t="n">
        <v>23</v>
      </c>
      <c r="I180" s="7" t="n">
        <v>93.9</v>
      </c>
      <c r="J180" s="9" t="n">
        <v>2.71</v>
      </c>
      <c r="K180" s="7" t="n">
        <v>0</v>
      </c>
      <c r="L180" s="9" t="n">
        <v>3.1</v>
      </c>
      <c r="M180" s="8" t="n">
        <v>804264</v>
      </c>
      <c r="N180" s="8" t="n">
        <v>167117.91</v>
      </c>
    </row>
    <row r="181" customFormat="false" ht="15" hidden="false" customHeight="false" outlineLevel="0" collapsed="false">
      <c r="A181" s="4" t="s">
        <v>72</v>
      </c>
      <c r="B181" s="4" t="s">
        <v>17</v>
      </c>
      <c r="C181" s="4" t="s">
        <v>33</v>
      </c>
      <c r="D181" s="4" t="s">
        <v>27</v>
      </c>
      <c r="E181" s="5" t="n">
        <v>67494.09</v>
      </c>
      <c r="F181" s="4" t="n">
        <v>12361</v>
      </c>
      <c r="G181" s="4" t="n">
        <v>0.046</v>
      </c>
      <c r="H181" s="4" t="n">
        <v>24</v>
      </c>
      <c r="I181" s="4" t="n">
        <v>76.6</v>
      </c>
      <c r="J181" s="6" t="n">
        <v>3.65</v>
      </c>
      <c r="K181" s="4" t="n">
        <v>1</v>
      </c>
      <c r="L181" s="6" t="n">
        <v>3.7</v>
      </c>
      <c r="M181" s="5" t="n">
        <v>887537.75</v>
      </c>
      <c r="N181" s="5" t="n">
        <v>160362.92</v>
      </c>
    </row>
    <row r="182" customFormat="false" ht="15" hidden="false" customHeight="false" outlineLevel="0" collapsed="false">
      <c r="A182" s="7" t="s">
        <v>72</v>
      </c>
      <c r="B182" s="7" t="s">
        <v>20</v>
      </c>
      <c r="C182" s="7" t="s">
        <v>33</v>
      </c>
      <c r="D182" s="7" t="s">
        <v>27</v>
      </c>
      <c r="E182" s="8" t="n">
        <v>29389.32</v>
      </c>
      <c r="F182" s="7" t="n">
        <v>7925</v>
      </c>
      <c r="G182" s="7" t="n">
        <v>0.177</v>
      </c>
      <c r="H182" s="7" t="n">
        <v>21</v>
      </c>
      <c r="I182" s="7" t="n">
        <v>90.9</v>
      </c>
      <c r="J182" s="9" t="n">
        <v>7.86</v>
      </c>
      <c r="K182" s="7" t="n">
        <v>0</v>
      </c>
      <c r="L182" s="9" t="n">
        <v>4</v>
      </c>
      <c r="M182" s="8" t="n">
        <v>783582</v>
      </c>
      <c r="N182" s="8" t="n">
        <v>130670.93</v>
      </c>
    </row>
    <row r="183" customFormat="false" ht="15" hidden="false" customHeight="false" outlineLevel="0" collapsed="false">
      <c r="A183" s="4" t="s">
        <v>72</v>
      </c>
      <c r="B183" s="4" t="s">
        <v>21</v>
      </c>
      <c r="C183" s="4" t="s">
        <v>33</v>
      </c>
      <c r="D183" s="4" t="s">
        <v>27</v>
      </c>
      <c r="E183" s="5" t="n">
        <v>40535.09</v>
      </c>
      <c r="F183" s="4" t="n">
        <v>8870</v>
      </c>
      <c r="G183" s="4" t="n">
        <v>0.041</v>
      </c>
      <c r="H183" s="4" t="n">
        <v>21</v>
      </c>
      <c r="I183" s="4" t="n">
        <v>86.6</v>
      </c>
      <c r="J183" s="6" t="n">
        <v>0.3</v>
      </c>
      <c r="K183" s="4" t="n">
        <v>0</v>
      </c>
      <c r="L183" s="6" t="n">
        <v>4.1</v>
      </c>
      <c r="M183" s="5" t="n">
        <v>781955.52</v>
      </c>
      <c r="N183" s="5" t="n">
        <v>152578.71</v>
      </c>
    </row>
    <row r="184" customFormat="false" ht="15" hidden="false" customHeight="false" outlineLevel="0" collapsed="false">
      <c r="A184" s="7" t="s">
        <v>72</v>
      </c>
      <c r="B184" s="7" t="s">
        <v>22</v>
      </c>
      <c r="C184" s="7" t="s">
        <v>33</v>
      </c>
      <c r="D184" s="7" t="s">
        <v>27</v>
      </c>
      <c r="E184" s="8" t="n">
        <v>74881.56</v>
      </c>
      <c r="F184" s="7" t="n">
        <v>9999</v>
      </c>
      <c r="G184" s="7" t="n">
        <v>0.013</v>
      </c>
      <c r="H184" s="7" t="n">
        <v>20</v>
      </c>
      <c r="I184" s="7" t="n">
        <v>89.6</v>
      </c>
      <c r="J184" s="9" t="n">
        <v>8.44</v>
      </c>
      <c r="K184" s="7" t="n">
        <v>0</v>
      </c>
      <c r="L184" s="9" t="n">
        <v>4.1</v>
      </c>
      <c r="M184" s="8" t="n">
        <v>898031.04</v>
      </c>
      <c r="N184" s="8" t="n">
        <v>138666.5</v>
      </c>
    </row>
    <row r="185" customFormat="false" ht="15" hidden="false" customHeight="false" outlineLevel="0" collapsed="false">
      <c r="A185" s="4" t="s">
        <v>73</v>
      </c>
      <c r="B185" s="4" t="s">
        <v>17</v>
      </c>
      <c r="C185" s="4" t="s">
        <v>33</v>
      </c>
      <c r="D185" s="4" t="s">
        <v>19</v>
      </c>
      <c r="E185" s="5" t="n">
        <v>68491.11</v>
      </c>
      <c r="F185" s="4" t="n">
        <v>11154</v>
      </c>
      <c r="G185" s="4" t="n">
        <v>0.001</v>
      </c>
      <c r="H185" s="4" t="n">
        <v>24</v>
      </c>
      <c r="I185" s="4" t="n">
        <v>89.4</v>
      </c>
      <c r="J185" s="6" t="n">
        <v>5.27</v>
      </c>
      <c r="K185" s="4" t="n">
        <v>1</v>
      </c>
      <c r="L185" s="6" t="n">
        <v>3.9</v>
      </c>
      <c r="M185" s="5" t="n">
        <v>855341.28</v>
      </c>
      <c r="N185" s="5" t="n">
        <v>175823.8</v>
      </c>
    </row>
    <row r="186" customFormat="false" ht="15" hidden="false" customHeight="false" outlineLevel="0" collapsed="false">
      <c r="A186" s="7" t="s">
        <v>73</v>
      </c>
      <c r="B186" s="7" t="s">
        <v>20</v>
      </c>
      <c r="C186" s="7" t="s">
        <v>33</v>
      </c>
      <c r="D186" s="7" t="s">
        <v>19</v>
      </c>
      <c r="E186" s="8" t="n">
        <v>45209.25</v>
      </c>
      <c r="F186" s="7" t="n">
        <v>9287</v>
      </c>
      <c r="G186" s="7" t="n">
        <v>0.141</v>
      </c>
      <c r="H186" s="7" t="n">
        <v>22</v>
      </c>
      <c r="I186" s="7" t="n">
        <v>86.4</v>
      </c>
      <c r="J186" s="9" t="n">
        <v>13.22</v>
      </c>
      <c r="K186" s="7" t="n">
        <v>0</v>
      </c>
      <c r="L186" s="9" t="n">
        <v>3.6</v>
      </c>
      <c r="M186" s="8" t="n">
        <v>751393.88</v>
      </c>
      <c r="N186" s="8" t="n">
        <v>91480.32</v>
      </c>
    </row>
    <row r="187" customFormat="false" ht="15" hidden="false" customHeight="false" outlineLevel="0" collapsed="false">
      <c r="A187" s="4" t="s">
        <v>73</v>
      </c>
      <c r="B187" s="4" t="s">
        <v>21</v>
      </c>
      <c r="C187" s="4" t="s">
        <v>33</v>
      </c>
      <c r="D187" s="4" t="s">
        <v>19</v>
      </c>
      <c r="E187" s="5" t="n">
        <v>63010.23</v>
      </c>
      <c r="F187" s="4" t="n">
        <v>9812</v>
      </c>
      <c r="G187" s="4" t="n">
        <v>0.113</v>
      </c>
      <c r="H187" s="4" t="n">
        <v>24</v>
      </c>
      <c r="I187" s="4" t="n">
        <v>76.8</v>
      </c>
      <c r="J187" s="6" t="n">
        <v>1.02</v>
      </c>
      <c r="K187" s="4" t="n">
        <v>1</v>
      </c>
      <c r="L187" s="6" t="n">
        <v>3.8</v>
      </c>
      <c r="M187" s="5" t="n">
        <v>761077.08</v>
      </c>
      <c r="N187" s="5" t="n">
        <v>113605.93</v>
      </c>
    </row>
    <row r="188" customFormat="false" ht="15" hidden="false" customHeight="false" outlineLevel="0" collapsed="false">
      <c r="A188" s="7" t="s">
        <v>73</v>
      </c>
      <c r="B188" s="7" t="s">
        <v>22</v>
      </c>
      <c r="C188" s="7" t="s">
        <v>33</v>
      </c>
      <c r="D188" s="7" t="s">
        <v>19</v>
      </c>
      <c r="E188" s="8" t="n">
        <v>57948.88</v>
      </c>
      <c r="F188" s="7" t="n">
        <v>10741</v>
      </c>
      <c r="G188" s="7" t="n">
        <v>0.07</v>
      </c>
      <c r="H188" s="7" t="n">
        <v>25</v>
      </c>
      <c r="I188" s="7" t="n">
        <v>90.1</v>
      </c>
      <c r="J188" s="9" t="n">
        <v>4.03</v>
      </c>
      <c r="K188" s="7" t="n">
        <v>0</v>
      </c>
      <c r="L188" s="9" t="n">
        <v>3.1</v>
      </c>
      <c r="M188" s="8" t="n">
        <v>819660.59</v>
      </c>
      <c r="N188" s="8" t="n">
        <v>172699.95</v>
      </c>
    </row>
    <row r="189" customFormat="false" ht="15" hidden="false" customHeight="false" outlineLevel="0" collapsed="false">
      <c r="A189" s="4" t="s">
        <v>74</v>
      </c>
      <c r="B189" s="4" t="s">
        <v>17</v>
      </c>
      <c r="C189" s="4" t="s">
        <v>26</v>
      </c>
      <c r="D189" s="4" t="s">
        <v>24</v>
      </c>
      <c r="E189" s="5" t="n">
        <v>71941.62</v>
      </c>
      <c r="F189" s="4" t="n">
        <v>6084</v>
      </c>
      <c r="G189" s="4" t="n">
        <v>0.072</v>
      </c>
      <c r="H189" s="4" t="n">
        <v>13</v>
      </c>
      <c r="I189" s="4" t="n">
        <v>93.7</v>
      </c>
      <c r="J189" s="6" t="n">
        <v>2.34</v>
      </c>
      <c r="K189" s="4" t="n">
        <v>0</v>
      </c>
      <c r="L189" s="6" t="n">
        <v>4.4</v>
      </c>
      <c r="M189" s="5" t="n">
        <v>681855.56</v>
      </c>
      <c r="N189" s="5" t="n">
        <v>117645.61</v>
      </c>
    </row>
    <row r="190" customFormat="false" ht="15" hidden="false" customHeight="false" outlineLevel="0" collapsed="false">
      <c r="A190" s="7" t="s">
        <v>74</v>
      </c>
      <c r="B190" s="7" t="s">
        <v>20</v>
      </c>
      <c r="C190" s="7" t="s">
        <v>26</v>
      </c>
      <c r="D190" s="7" t="s">
        <v>24</v>
      </c>
      <c r="E190" s="8" t="n">
        <v>57147.88</v>
      </c>
      <c r="F190" s="7" t="n">
        <v>5252</v>
      </c>
      <c r="G190" s="7" t="n">
        <v>0.161</v>
      </c>
      <c r="H190" s="7" t="n">
        <v>15</v>
      </c>
      <c r="I190" s="7" t="n">
        <v>95.5</v>
      </c>
      <c r="J190" s="9" t="n">
        <v>8.51</v>
      </c>
      <c r="K190" s="7" t="n">
        <v>0</v>
      </c>
      <c r="L190" s="9" t="n">
        <v>4.4</v>
      </c>
      <c r="M190" s="8" t="n">
        <v>678311.17</v>
      </c>
      <c r="N190" s="8" t="n">
        <v>132029.76</v>
      </c>
    </row>
    <row r="191" customFormat="false" ht="15" hidden="false" customHeight="false" outlineLevel="0" collapsed="false">
      <c r="A191" s="4" t="s">
        <v>74</v>
      </c>
      <c r="B191" s="4" t="s">
        <v>21</v>
      </c>
      <c r="C191" s="4" t="s">
        <v>26</v>
      </c>
      <c r="D191" s="4" t="s">
        <v>24</v>
      </c>
      <c r="E191" s="5" t="n">
        <v>48031.74</v>
      </c>
      <c r="F191" s="4" t="n">
        <v>6516</v>
      </c>
      <c r="G191" s="4" t="n">
        <v>0.067</v>
      </c>
      <c r="H191" s="4" t="n">
        <v>14</v>
      </c>
      <c r="I191" s="4" t="n">
        <v>99</v>
      </c>
      <c r="J191" s="6" t="n">
        <v>0.48</v>
      </c>
      <c r="K191" s="4" t="n">
        <v>1</v>
      </c>
      <c r="L191" s="6" t="n">
        <v>4.3</v>
      </c>
      <c r="M191" s="5" t="n">
        <v>765906.95</v>
      </c>
      <c r="N191" s="5" t="n">
        <v>114005.9</v>
      </c>
    </row>
    <row r="192" customFormat="false" ht="15" hidden="false" customHeight="false" outlineLevel="0" collapsed="false">
      <c r="A192" s="7" t="s">
        <v>74</v>
      </c>
      <c r="B192" s="7" t="s">
        <v>22</v>
      </c>
      <c r="C192" s="7" t="s">
        <v>26</v>
      </c>
      <c r="D192" s="7" t="s">
        <v>24</v>
      </c>
      <c r="E192" s="8" t="n">
        <v>72784.8</v>
      </c>
      <c r="F192" s="7" t="n">
        <v>7932</v>
      </c>
      <c r="G192" s="7" t="n">
        <v>0.094</v>
      </c>
      <c r="H192" s="7" t="n">
        <v>20</v>
      </c>
      <c r="I192" s="7" t="n">
        <v>74.9</v>
      </c>
      <c r="J192" s="9" t="n">
        <v>13.62</v>
      </c>
      <c r="K192" s="7" t="n">
        <v>0</v>
      </c>
      <c r="L192" s="9" t="n">
        <v>4.2</v>
      </c>
      <c r="M192" s="8" t="n">
        <v>712546.38</v>
      </c>
      <c r="N192" s="8" t="n">
        <v>101480.04</v>
      </c>
    </row>
    <row r="193" customFormat="false" ht="15" hidden="false" customHeight="false" outlineLevel="0" collapsed="false">
      <c r="A193" s="4" t="s">
        <v>75</v>
      </c>
      <c r="B193" s="4" t="s">
        <v>17</v>
      </c>
      <c r="C193" s="4" t="s">
        <v>18</v>
      </c>
      <c r="D193" s="4" t="s">
        <v>24</v>
      </c>
      <c r="E193" s="5" t="n">
        <v>71641.9</v>
      </c>
      <c r="F193" s="4" t="n">
        <v>3506</v>
      </c>
      <c r="G193" s="4" t="n">
        <v>0</v>
      </c>
      <c r="H193" s="4" t="n">
        <v>11</v>
      </c>
      <c r="I193" s="4" t="n">
        <v>86.4</v>
      </c>
      <c r="J193" s="6" t="n">
        <v>7.77</v>
      </c>
      <c r="K193" s="4" t="n">
        <v>0</v>
      </c>
      <c r="L193" s="6" t="n">
        <v>4.1</v>
      </c>
      <c r="M193" s="5" t="n">
        <v>625993.83</v>
      </c>
      <c r="N193" s="5" t="n">
        <v>98960.32</v>
      </c>
    </row>
    <row r="194" customFormat="false" ht="15" hidden="false" customHeight="false" outlineLevel="0" collapsed="false">
      <c r="A194" s="7" t="s">
        <v>75</v>
      </c>
      <c r="B194" s="7" t="s">
        <v>20</v>
      </c>
      <c r="C194" s="7" t="s">
        <v>18</v>
      </c>
      <c r="D194" s="7" t="s">
        <v>24</v>
      </c>
      <c r="E194" s="8" t="n">
        <v>55788.61</v>
      </c>
      <c r="F194" s="7" t="n">
        <v>2312</v>
      </c>
      <c r="G194" s="7" t="n">
        <v>0.058</v>
      </c>
      <c r="H194" s="7" t="n">
        <v>10</v>
      </c>
      <c r="I194" s="7" t="n">
        <v>91.3</v>
      </c>
      <c r="J194" s="9" t="n">
        <v>1.99</v>
      </c>
      <c r="K194" s="7" t="n">
        <v>0</v>
      </c>
      <c r="L194" s="9" t="n">
        <v>3.8</v>
      </c>
      <c r="M194" s="8" t="n">
        <v>550962.93</v>
      </c>
      <c r="N194" s="8" t="n">
        <v>97144.58</v>
      </c>
    </row>
    <row r="195" customFormat="false" ht="15" hidden="false" customHeight="false" outlineLevel="0" collapsed="false">
      <c r="A195" s="4" t="s">
        <v>75</v>
      </c>
      <c r="B195" s="4" t="s">
        <v>21</v>
      </c>
      <c r="C195" s="4" t="s">
        <v>18</v>
      </c>
      <c r="D195" s="4" t="s">
        <v>24</v>
      </c>
      <c r="E195" s="5" t="n">
        <v>37705.88</v>
      </c>
      <c r="F195" s="4" t="n">
        <v>1268</v>
      </c>
      <c r="G195" s="4" t="n">
        <v>0.259</v>
      </c>
      <c r="H195" s="4" t="n">
        <v>9</v>
      </c>
      <c r="I195" s="4" t="n">
        <v>84.1</v>
      </c>
      <c r="J195" s="6" t="n">
        <v>4.77</v>
      </c>
      <c r="K195" s="4" t="n">
        <v>0</v>
      </c>
      <c r="L195" s="6" t="n">
        <v>3.8</v>
      </c>
      <c r="M195" s="5" t="n">
        <v>443275.59</v>
      </c>
      <c r="N195" s="5" t="n">
        <v>53544.36</v>
      </c>
    </row>
    <row r="196" customFormat="false" ht="15" hidden="false" customHeight="false" outlineLevel="0" collapsed="false">
      <c r="A196" s="7" t="s">
        <v>75</v>
      </c>
      <c r="B196" s="7" t="s">
        <v>22</v>
      </c>
      <c r="C196" s="7" t="s">
        <v>18</v>
      </c>
      <c r="D196" s="7" t="s">
        <v>24</v>
      </c>
      <c r="E196" s="8" t="n">
        <v>54966.18</v>
      </c>
      <c r="F196" s="7" t="n">
        <v>4423</v>
      </c>
      <c r="G196" s="7" t="n">
        <v>0.186</v>
      </c>
      <c r="H196" s="7" t="n">
        <v>13</v>
      </c>
      <c r="I196" s="7" t="n">
        <v>88.7</v>
      </c>
      <c r="J196" s="9" t="n">
        <v>0.2</v>
      </c>
      <c r="K196" s="7" t="n">
        <v>0</v>
      </c>
      <c r="L196" s="9" t="n">
        <v>4.4</v>
      </c>
      <c r="M196" s="8" t="n">
        <v>554012.07</v>
      </c>
      <c r="N196" s="8" t="n">
        <v>81101.62</v>
      </c>
    </row>
    <row r="197" customFormat="false" ht="15" hidden="false" customHeight="false" outlineLevel="0" collapsed="false">
      <c r="A197" s="4" t="s">
        <v>76</v>
      </c>
      <c r="B197" s="4" t="s">
        <v>17</v>
      </c>
      <c r="C197" s="4" t="s">
        <v>33</v>
      </c>
      <c r="D197" s="4" t="s">
        <v>19</v>
      </c>
      <c r="E197" s="5" t="n">
        <v>81796.74</v>
      </c>
      <c r="F197" s="4" t="n">
        <v>6177</v>
      </c>
      <c r="G197" s="4" t="n">
        <v>0.164</v>
      </c>
      <c r="H197" s="4" t="n">
        <v>14</v>
      </c>
      <c r="I197" s="4" t="n">
        <v>87.9</v>
      </c>
      <c r="J197" s="6" t="n">
        <v>0.53</v>
      </c>
      <c r="K197" s="4" t="n">
        <v>0</v>
      </c>
      <c r="L197" s="6" t="n">
        <v>3.2</v>
      </c>
      <c r="M197" s="5" t="n">
        <v>643428.85</v>
      </c>
      <c r="N197" s="5" t="n">
        <v>94477.63</v>
      </c>
    </row>
    <row r="198" customFormat="false" ht="15" hidden="false" customHeight="false" outlineLevel="0" collapsed="false">
      <c r="A198" s="7" t="s">
        <v>76</v>
      </c>
      <c r="B198" s="7" t="s">
        <v>20</v>
      </c>
      <c r="C198" s="7" t="s">
        <v>33</v>
      </c>
      <c r="D198" s="7" t="s">
        <v>19</v>
      </c>
      <c r="E198" s="8" t="n">
        <v>51133.43</v>
      </c>
      <c r="F198" s="7" t="n">
        <v>5150</v>
      </c>
      <c r="G198" s="7" t="n">
        <v>0.15</v>
      </c>
      <c r="H198" s="7" t="n">
        <v>12</v>
      </c>
      <c r="I198" s="7" t="n">
        <v>88.5</v>
      </c>
      <c r="J198" s="9" t="n">
        <v>1.54</v>
      </c>
      <c r="K198" s="7" t="n">
        <v>0</v>
      </c>
      <c r="L198" s="9" t="n">
        <v>3.2</v>
      </c>
      <c r="M198" s="8" t="n">
        <v>611924.27</v>
      </c>
      <c r="N198" s="8" t="n">
        <v>115488.75</v>
      </c>
    </row>
    <row r="199" customFormat="false" ht="15" hidden="false" customHeight="false" outlineLevel="0" collapsed="false">
      <c r="A199" s="4" t="s">
        <v>76</v>
      </c>
      <c r="B199" s="4" t="s">
        <v>21</v>
      </c>
      <c r="C199" s="4" t="s">
        <v>33</v>
      </c>
      <c r="D199" s="4" t="s">
        <v>19</v>
      </c>
      <c r="E199" s="5" t="n">
        <v>40220.18</v>
      </c>
      <c r="F199" s="4" t="n">
        <v>3783</v>
      </c>
      <c r="G199" s="4" t="n">
        <v>0.089</v>
      </c>
      <c r="H199" s="4" t="n">
        <v>14</v>
      </c>
      <c r="I199" s="4" t="n">
        <v>86.6</v>
      </c>
      <c r="J199" s="6" t="n">
        <v>3.63</v>
      </c>
      <c r="K199" s="4" t="n">
        <v>0</v>
      </c>
      <c r="L199" s="6" t="n">
        <v>3.7</v>
      </c>
      <c r="M199" s="5" t="n">
        <v>559422.02</v>
      </c>
      <c r="N199" s="5" t="n">
        <v>73528.74</v>
      </c>
    </row>
    <row r="200" customFormat="false" ht="15" hidden="false" customHeight="false" outlineLevel="0" collapsed="false">
      <c r="A200" s="7" t="s">
        <v>76</v>
      </c>
      <c r="B200" s="7" t="s">
        <v>22</v>
      </c>
      <c r="C200" s="7" t="s">
        <v>33</v>
      </c>
      <c r="D200" s="7" t="s">
        <v>19</v>
      </c>
      <c r="E200" s="8" t="n">
        <v>41657.64</v>
      </c>
      <c r="F200" s="7" t="n">
        <v>3135</v>
      </c>
      <c r="G200" s="7" t="n">
        <v>0.229</v>
      </c>
      <c r="H200" s="7" t="n">
        <v>7</v>
      </c>
      <c r="I200" s="7" t="n">
        <v>85.4</v>
      </c>
      <c r="J200" s="9" t="n">
        <v>13.48</v>
      </c>
      <c r="K200" s="7" t="n">
        <v>0</v>
      </c>
      <c r="L200" s="9"/>
      <c r="M200" s="8" t="n">
        <v>449465.06</v>
      </c>
      <c r="N200" s="8" t="n">
        <v>65694.78</v>
      </c>
    </row>
    <row r="201" customFormat="false" ht="15" hidden="false" customHeight="false" outlineLevel="0" collapsed="false">
      <c r="A201" s="4" t="s">
        <v>77</v>
      </c>
      <c r="B201" s="4" t="s">
        <v>17</v>
      </c>
      <c r="C201" s="4" t="s">
        <v>26</v>
      </c>
      <c r="D201" s="4" t="s">
        <v>19</v>
      </c>
      <c r="E201" s="5" t="n">
        <v>71851.45</v>
      </c>
      <c r="F201" s="4" t="n">
        <v>4970</v>
      </c>
      <c r="G201" s="4" t="n">
        <v>0.098</v>
      </c>
      <c r="H201" s="4" t="n">
        <v>11</v>
      </c>
      <c r="I201" s="4" t="n">
        <v>89.6</v>
      </c>
      <c r="J201" s="6" t="n">
        <v>0.2</v>
      </c>
      <c r="K201" s="4" t="n">
        <v>0</v>
      </c>
      <c r="L201" s="6" t="n">
        <v>4.2</v>
      </c>
      <c r="M201" s="5" t="n">
        <v>691447.43</v>
      </c>
      <c r="N201" s="5" t="n">
        <v>114077.69</v>
      </c>
    </row>
    <row r="202" customFormat="false" ht="15" hidden="false" customHeight="false" outlineLevel="0" collapsed="false">
      <c r="A202" s="7" t="s">
        <v>77</v>
      </c>
      <c r="B202" s="7" t="s">
        <v>20</v>
      </c>
      <c r="C202" s="7" t="s">
        <v>26</v>
      </c>
      <c r="D202" s="7" t="s">
        <v>19</v>
      </c>
      <c r="E202" s="8" t="n">
        <v>54002.83</v>
      </c>
      <c r="F202" s="7" t="n">
        <v>4366</v>
      </c>
      <c r="G202" s="7" t="n">
        <v>0.027</v>
      </c>
      <c r="H202" s="7" t="n">
        <v>15</v>
      </c>
      <c r="I202" s="7" t="n">
        <v>90.6</v>
      </c>
      <c r="J202" s="9" t="n">
        <v>12.82</v>
      </c>
      <c r="K202" s="7" t="n">
        <v>0</v>
      </c>
      <c r="L202" s="9" t="n">
        <v>4.6</v>
      </c>
      <c r="M202" s="8" t="n">
        <v>574066.61</v>
      </c>
      <c r="N202" s="8" t="n">
        <v>124674.67</v>
      </c>
    </row>
    <row r="203" customFormat="false" ht="15" hidden="false" customHeight="false" outlineLevel="0" collapsed="false">
      <c r="A203" s="4" t="s">
        <v>77</v>
      </c>
      <c r="B203" s="4" t="s">
        <v>21</v>
      </c>
      <c r="C203" s="4" t="s">
        <v>26</v>
      </c>
      <c r="D203" s="4" t="s">
        <v>19</v>
      </c>
      <c r="E203" s="5" t="n">
        <v>54479.33</v>
      </c>
      <c r="F203" s="4" t="n">
        <v>5012</v>
      </c>
      <c r="G203" s="4" t="n">
        <v>0.284</v>
      </c>
      <c r="H203" s="4" t="n">
        <v>13</v>
      </c>
      <c r="I203" s="4" t="n">
        <v>86</v>
      </c>
      <c r="J203" s="6" t="n">
        <v>2.24</v>
      </c>
      <c r="K203" s="4" t="n">
        <v>1</v>
      </c>
      <c r="L203" s="6" t="n">
        <v>4.3</v>
      </c>
      <c r="M203" s="5" t="n">
        <v>578949.84</v>
      </c>
      <c r="N203" s="5" t="n">
        <v>80253.65</v>
      </c>
    </row>
    <row r="204" customFormat="false" ht="15" hidden="false" customHeight="false" outlineLevel="0" collapsed="false">
      <c r="A204" s="7" t="s">
        <v>77</v>
      </c>
      <c r="B204" s="7" t="s">
        <v>22</v>
      </c>
      <c r="C204" s="7" t="s">
        <v>26</v>
      </c>
      <c r="D204" s="7" t="s">
        <v>19</v>
      </c>
      <c r="E204" s="8" t="n">
        <v>61391.8</v>
      </c>
      <c r="F204" s="7" t="n">
        <v>5575</v>
      </c>
      <c r="G204" s="7" t="n">
        <v>0.189</v>
      </c>
      <c r="H204" s="7" t="n">
        <v>18</v>
      </c>
      <c r="I204" s="7" t="n">
        <v>90</v>
      </c>
      <c r="J204" s="9" t="n">
        <v>1.8</v>
      </c>
      <c r="K204" s="7" t="n">
        <v>0</v>
      </c>
      <c r="L204" s="9" t="n">
        <v>4.8</v>
      </c>
      <c r="M204" s="8" t="n">
        <v>735786.64</v>
      </c>
      <c r="N204" s="8" t="n">
        <v>126540.66</v>
      </c>
    </row>
    <row r="205" customFormat="false" ht="15" hidden="false" customHeight="false" outlineLevel="0" collapsed="false">
      <c r="A205" s="4" t="s">
        <v>78</v>
      </c>
      <c r="B205" s="4" t="s">
        <v>17</v>
      </c>
      <c r="C205" s="4" t="s">
        <v>18</v>
      </c>
      <c r="D205" s="4" t="s">
        <v>27</v>
      </c>
      <c r="E205" s="5" t="n">
        <v>22312.93</v>
      </c>
      <c r="F205" s="4" t="n">
        <v>5955</v>
      </c>
      <c r="G205" s="4" t="n">
        <v>0.123</v>
      </c>
      <c r="H205" s="4" t="n">
        <v>13</v>
      </c>
      <c r="I205" s="4" t="n">
        <v>84.2</v>
      </c>
      <c r="J205" s="6" t="n">
        <v>0.41</v>
      </c>
      <c r="K205" s="4" t="n">
        <v>1</v>
      </c>
      <c r="L205" s="6" t="n">
        <v>4.6</v>
      </c>
      <c r="M205" s="5" t="n">
        <v>598904.9</v>
      </c>
      <c r="N205" s="5" t="n">
        <v>72861</v>
      </c>
    </row>
    <row r="206" customFormat="false" ht="15" hidden="false" customHeight="false" outlineLevel="0" collapsed="false">
      <c r="A206" s="7" t="s">
        <v>78</v>
      </c>
      <c r="B206" s="7" t="s">
        <v>20</v>
      </c>
      <c r="C206" s="7" t="s">
        <v>18</v>
      </c>
      <c r="D206" s="7" t="s">
        <v>27</v>
      </c>
      <c r="E206" s="8" t="n">
        <v>78111.97</v>
      </c>
      <c r="F206" s="7" t="n">
        <v>6389</v>
      </c>
      <c r="G206" s="7" t="n">
        <v>0.15</v>
      </c>
      <c r="H206" s="7" t="n">
        <v>13</v>
      </c>
      <c r="I206" s="7" t="n">
        <v>83.9</v>
      </c>
      <c r="J206" s="9" t="n">
        <v>3.05</v>
      </c>
      <c r="K206" s="7" t="n">
        <v>0</v>
      </c>
      <c r="L206" s="9" t="n">
        <v>4.8</v>
      </c>
      <c r="M206" s="8" t="n">
        <v>787715.51</v>
      </c>
      <c r="N206" s="8" t="n">
        <v>128969.62</v>
      </c>
    </row>
    <row r="207" customFormat="false" ht="15" hidden="false" customHeight="false" outlineLevel="0" collapsed="false">
      <c r="A207" s="4" t="s">
        <v>78</v>
      </c>
      <c r="B207" s="4" t="s">
        <v>21</v>
      </c>
      <c r="C207" s="4" t="s">
        <v>18</v>
      </c>
      <c r="D207" s="4" t="s">
        <v>27</v>
      </c>
      <c r="E207" s="5" t="n">
        <v>35203.23</v>
      </c>
      <c r="F207" s="4" t="n">
        <v>6896</v>
      </c>
      <c r="G207" s="4" t="n">
        <v>0.032</v>
      </c>
      <c r="H207" s="4" t="n">
        <v>14</v>
      </c>
      <c r="I207" s="4" t="n">
        <v>80.8</v>
      </c>
      <c r="J207" s="6" t="n">
        <v>8.44</v>
      </c>
      <c r="K207" s="4" t="n">
        <v>1</v>
      </c>
      <c r="L207" s="6" t="n">
        <v>5</v>
      </c>
      <c r="M207" s="5" t="n">
        <v>607084.92</v>
      </c>
      <c r="N207" s="5" t="n">
        <v>98558.49</v>
      </c>
    </row>
    <row r="208" customFormat="false" ht="15" hidden="false" customHeight="false" outlineLevel="0" collapsed="false">
      <c r="A208" s="7" t="s">
        <v>78</v>
      </c>
      <c r="B208" s="7" t="s">
        <v>22</v>
      </c>
      <c r="C208" s="7" t="s">
        <v>18</v>
      </c>
      <c r="D208" s="7" t="s">
        <v>27</v>
      </c>
      <c r="E208" s="8" t="n">
        <v>64104.28</v>
      </c>
      <c r="F208" s="7" t="n">
        <v>6015</v>
      </c>
      <c r="G208" s="7" t="n">
        <v>0.127</v>
      </c>
      <c r="H208" s="7" t="n">
        <v>15</v>
      </c>
      <c r="I208" s="7" t="n">
        <v>88.7</v>
      </c>
      <c r="J208" s="9" t="n">
        <v>0.78</v>
      </c>
      <c r="K208" s="7" t="n">
        <v>0</v>
      </c>
      <c r="L208" s="9" t="n">
        <v>4</v>
      </c>
      <c r="M208" s="8" t="n">
        <v>650795.49</v>
      </c>
      <c r="N208" s="8" t="n">
        <v>103035.89</v>
      </c>
    </row>
    <row r="209" customFormat="false" ht="15" hidden="false" customHeight="false" outlineLevel="0" collapsed="false">
      <c r="A209" s="4" t="s">
        <v>79</v>
      </c>
      <c r="B209" s="4" t="s">
        <v>17</v>
      </c>
      <c r="C209" s="4" t="s">
        <v>18</v>
      </c>
      <c r="D209" s="4" t="s">
        <v>34</v>
      </c>
      <c r="E209" s="5" t="n">
        <v>92090.14</v>
      </c>
      <c r="F209" s="4" t="n">
        <v>9476</v>
      </c>
      <c r="G209" s="4" t="n">
        <v>0.07</v>
      </c>
      <c r="H209" s="4" t="n">
        <v>24</v>
      </c>
      <c r="I209" s="4" t="n">
        <v>94.3</v>
      </c>
      <c r="J209" s="6" t="n">
        <v>0.87</v>
      </c>
      <c r="K209" s="4" t="n">
        <v>0</v>
      </c>
      <c r="L209" s="6" t="n">
        <v>3.7</v>
      </c>
      <c r="M209" s="5" t="n">
        <v>825060.52</v>
      </c>
      <c r="N209" s="5" t="n">
        <v>143613.15</v>
      </c>
    </row>
    <row r="210" customFormat="false" ht="15" hidden="false" customHeight="false" outlineLevel="0" collapsed="false">
      <c r="A210" s="7" t="s">
        <v>79</v>
      </c>
      <c r="B210" s="7" t="s">
        <v>20</v>
      </c>
      <c r="C210" s="7" t="s">
        <v>18</v>
      </c>
      <c r="D210" s="7" t="s">
        <v>34</v>
      </c>
      <c r="E210" s="8" t="n">
        <v>54300.87</v>
      </c>
      <c r="F210" s="7" t="n">
        <v>7875</v>
      </c>
      <c r="G210" s="7" t="n">
        <v>0.107</v>
      </c>
      <c r="H210" s="7" t="n">
        <v>19</v>
      </c>
      <c r="I210" s="7" t="n">
        <v>94.1</v>
      </c>
      <c r="J210" s="9" t="n">
        <v>0.95</v>
      </c>
      <c r="K210" s="7" t="n">
        <v>0</v>
      </c>
      <c r="L210" s="9" t="n">
        <v>3.7</v>
      </c>
      <c r="M210" s="8" t="n">
        <v>795464.47</v>
      </c>
      <c r="N210" s="8" t="n">
        <v>161150.52</v>
      </c>
    </row>
    <row r="211" customFormat="false" ht="15" hidden="false" customHeight="false" outlineLevel="0" collapsed="false">
      <c r="A211" s="4" t="s">
        <v>79</v>
      </c>
      <c r="B211" s="4" t="s">
        <v>21</v>
      </c>
      <c r="C211" s="4" t="s">
        <v>18</v>
      </c>
      <c r="D211" s="4" t="s">
        <v>34</v>
      </c>
      <c r="E211" s="5" t="n">
        <v>37983.35</v>
      </c>
      <c r="F211" s="4" t="n">
        <v>9283</v>
      </c>
      <c r="G211" s="4" t="n">
        <v>0.149</v>
      </c>
      <c r="H211" s="4" t="n">
        <v>19</v>
      </c>
      <c r="I211" s="4" t="n">
        <v>83.2</v>
      </c>
      <c r="J211" s="6" t="n">
        <v>3.82</v>
      </c>
      <c r="K211" s="4" t="n">
        <v>0</v>
      </c>
      <c r="L211" s="6" t="n">
        <v>3.7</v>
      </c>
      <c r="M211" s="5" t="n">
        <v>671868.59</v>
      </c>
      <c r="N211" s="5" t="n">
        <v>71003.28</v>
      </c>
    </row>
    <row r="212" customFormat="false" ht="15" hidden="false" customHeight="false" outlineLevel="0" collapsed="false">
      <c r="A212" s="7" t="s">
        <v>79</v>
      </c>
      <c r="B212" s="7" t="s">
        <v>22</v>
      </c>
      <c r="C212" s="7" t="s">
        <v>18</v>
      </c>
      <c r="D212" s="7" t="s">
        <v>34</v>
      </c>
      <c r="E212" s="8" t="n">
        <v>56413.83</v>
      </c>
      <c r="F212" s="7" t="n">
        <v>8303</v>
      </c>
      <c r="G212" s="7" t="n">
        <v>0.116</v>
      </c>
      <c r="H212" s="7" t="n">
        <v>18</v>
      </c>
      <c r="I212" s="7" t="n">
        <v>93.6</v>
      </c>
      <c r="J212" s="9" t="n">
        <v>2.7</v>
      </c>
      <c r="K212" s="7" t="n">
        <v>0</v>
      </c>
      <c r="L212" s="9" t="n">
        <v>3.7</v>
      </c>
      <c r="M212" s="8" t="n">
        <v>675917.63</v>
      </c>
      <c r="N212" s="8" t="n">
        <v>112564.75</v>
      </c>
    </row>
    <row r="213" customFormat="false" ht="15" hidden="false" customHeight="false" outlineLevel="0" collapsed="false">
      <c r="A213" s="4" t="s">
        <v>80</v>
      </c>
      <c r="B213" s="4" t="s">
        <v>17</v>
      </c>
      <c r="C213" s="4" t="s">
        <v>18</v>
      </c>
      <c r="D213" s="4" t="s">
        <v>24</v>
      </c>
      <c r="E213" s="5" t="n">
        <v>63457.19</v>
      </c>
      <c r="F213" s="4" t="n">
        <v>10125</v>
      </c>
      <c r="G213" s="4" t="n">
        <v>0.097</v>
      </c>
      <c r="H213" s="4" t="n">
        <v>24</v>
      </c>
      <c r="I213" s="4" t="n">
        <v>87</v>
      </c>
      <c r="J213" s="6" t="n">
        <v>3.84</v>
      </c>
      <c r="K213" s="4" t="n">
        <v>1</v>
      </c>
      <c r="L213" s="6" t="n">
        <v>3.7</v>
      </c>
      <c r="M213" s="5" t="n">
        <v>810446.53</v>
      </c>
      <c r="N213" s="5" t="n">
        <v>200575.34</v>
      </c>
    </row>
    <row r="214" customFormat="false" ht="15" hidden="false" customHeight="false" outlineLevel="0" collapsed="false">
      <c r="A214" s="7" t="s">
        <v>80</v>
      </c>
      <c r="B214" s="7" t="s">
        <v>20</v>
      </c>
      <c r="C214" s="7" t="s">
        <v>18</v>
      </c>
      <c r="D214" s="7" t="s">
        <v>24</v>
      </c>
      <c r="E214" s="8" t="n">
        <v>62949.7</v>
      </c>
      <c r="F214" s="7" t="n">
        <v>9458</v>
      </c>
      <c r="G214" s="7" t="n">
        <v>0.171</v>
      </c>
      <c r="H214" s="7" t="n">
        <v>19</v>
      </c>
      <c r="I214" s="7" t="n">
        <v>84.9</v>
      </c>
      <c r="J214" s="9" t="n">
        <v>5.09</v>
      </c>
      <c r="K214" s="7" t="n">
        <v>0</v>
      </c>
      <c r="L214" s="9" t="n">
        <v>3.3</v>
      </c>
      <c r="M214" s="8" t="n">
        <v>691288.19</v>
      </c>
      <c r="N214" s="8" t="n">
        <v>159074.14</v>
      </c>
    </row>
    <row r="215" customFormat="false" ht="15" hidden="false" customHeight="false" outlineLevel="0" collapsed="false">
      <c r="A215" s="4" t="s">
        <v>80</v>
      </c>
      <c r="B215" s="4" t="s">
        <v>21</v>
      </c>
      <c r="C215" s="4" t="s">
        <v>18</v>
      </c>
      <c r="D215" s="4" t="s">
        <v>24</v>
      </c>
      <c r="E215" s="5" t="n">
        <v>107970.19</v>
      </c>
      <c r="F215" s="4" t="n">
        <v>12870</v>
      </c>
      <c r="G215" s="4" t="n">
        <v>0.029</v>
      </c>
      <c r="H215" s="4" t="n">
        <v>31</v>
      </c>
      <c r="I215" s="4" t="n">
        <v>91.7</v>
      </c>
      <c r="J215" s="6" t="n">
        <v>3.82</v>
      </c>
      <c r="K215" s="4" t="n">
        <v>1</v>
      </c>
      <c r="L215" s="6" t="n">
        <v>3.7</v>
      </c>
      <c r="M215" s="5" t="n">
        <v>946833.54</v>
      </c>
      <c r="N215" s="5" t="n">
        <v>184540.31</v>
      </c>
    </row>
    <row r="216" customFormat="false" ht="15" hidden="false" customHeight="false" outlineLevel="0" collapsed="false">
      <c r="A216" s="7" t="s">
        <v>80</v>
      </c>
      <c r="B216" s="7" t="s">
        <v>22</v>
      </c>
      <c r="C216" s="7" t="s">
        <v>18</v>
      </c>
      <c r="D216" s="7" t="s">
        <v>24</v>
      </c>
      <c r="E216" s="8" t="n">
        <v>49405.75</v>
      </c>
      <c r="F216" s="7" t="n">
        <v>9752</v>
      </c>
      <c r="G216" s="7" t="n">
        <v>0.093</v>
      </c>
      <c r="H216" s="7" t="n">
        <v>21</v>
      </c>
      <c r="I216" s="7" t="n">
        <v>87</v>
      </c>
      <c r="J216" s="9" t="n">
        <v>12.28</v>
      </c>
      <c r="K216" s="7" t="n">
        <v>0</v>
      </c>
      <c r="L216" s="9" t="n">
        <v>4.1</v>
      </c>
      <c r="M216" s="8" t="n">
        <v>761963.23</v>
      </c>
      <c r="N216" s="8" t="n">
        <v>150113.61</v>
      </c>
    </row>
    <row r="217" customFormat="false" ht="15" hidden="false" customHeight="false" outlineLevel="0" collapsed="false">
      <c r="A217" s="4" t="s">
        <v>81</v>
      </c>
      <c r="B217" s="4" t="s">
        <v>17</v>
      </c>
      <c r="C217" s="4" t="s">
        <v>33</v>
      </c>
      <c r="D217" s="4" t="s">
        <v>19</v>
      </c>
      <c r="E217" s="5" t="n">
        <v>50887.46</v>
      </c>
      <c r="F217" s="4" t="n">
        <v>9505</v>
      </c>
      <c r="G217" s="4" t="n">
        <v>0.091</v>
      </c>
      <c r="H217" s="4" t="n">
        <v>25</v>
      </c>
      <c r="I217" s="4" t="n">
        <v>89.7</v>
      </c>
      <c r="J217" s="6" t="n">
        <v>2.8</v>
      </c>
      <c r="K217" s="4" t="n">
        <v>0</v>
      </c>
      <c r="L217" s="6" t="n">
        <v>4.3</v>
      </c>
      <c r="M217" s="5" t="n">
        <v>812152.6</v>
      </c>
      <c r="N217" s="5" t="n">
        <v>138419.43</v>
      </c>
    </row>
    <row r="218" customFormat="false" ht="15" hidden="false" customHeight="false" outlineLevel="0" collapsed="false">
      <c r="A218" s="7" t="s">
        <v>81</v>
      </c>
      <c r="B218" s="7" t="s">
        <v>20</v>
      </c>
      <c r="C218" s="7" t="s">
        <v>33</v>
      </c>
      <c r="D218" s="7" t="s">
        <v>19</v>
      </c>
      <c r="E218" s="8" t="n">
        <v>41819.45</v>
      </c>
      <c r="F218" s="7" t="n">
        <v>9412</v>
      </c>
      <c r="G218" s="7" t="n">
        <v>0.15</v>
      </c>
      <c r="H218" s="7" t="n">
        <v>22</v>
      </c>
      <c r="I218" s="7" t="n">
        <v>91</v>
      </c>
      <c r="J218" s="9" t="n">
        <v>3.67</v>
      </c>
      <c r="K218" s="7" t="n">
        <v>0</v>
      </c>
      <c r="L218" s="9" t="n">
        <v>4.2</v>
      </c>
      <c r="M218" s="8" t="n">
        <v>804975.5</v>
      </c>
      <c r="N218" s="8" t="n">
        <v>140054.5</v>
      </c>
    </row>
    <row r="219" customFormat="false" ht="15" hidden="false" customHeight="false" outlineLevel="0" collapsed="false">
      <c r="A219" s="4" t="s">
        <v>81</v>
      </c>
      <c r="B219" s="4" t="s">
        <v>21</v>
      </c>
      <c r="C219" s="4" t="s">
        <v>33</v>
      </c>
      <c r="D219" s="4" t="s">
        <v>19</v>
      </c>
      <c r="E219" s="5" t="n">
        <v>35296.54</v>
      </c>
      <c r="F219" s="4" t="n">
        <v>9644</v>
      </c>
      <c r="G219" s="4" t="n">
        <v>0</v>
      </c>
      <c r="H219" s="4" t="n">
        <v>22</v>
      </c>
      <c r="I219" s="4" t="n">
        <v>88</v>
      </c>
      <c r="J219" s="6" t="n">
        <v>2.81</v>
      </c>
      <c r="K219" s="4" t="n">
        <v>0</v>
      </c>
      <c r="L219" s="6" t="n">
        <v>4.7</v>
      </c>
      <c r="M219" s="5" t="n">
        <v>752321.72</v>
      </c>
      <c r="N219" s="5" t="n">
        <v>137788.51</v>
      </c>
    </row>
    <row r="220" customFormat="false" ht="15" hidden="false" customHeight="false" outlineLevel="0" collapsed="false">
      <c r="A220" s="7" t="s">
        <v>81</v>
      </c>
      <c r="B220" s="7" t="s">
        <v>22</v>
      </c>
      <c r="C220" s="7" t="s">
        <v>33</v>
      </c>
      <c r="D220" s="7" t="s">
        <v>19</v>
      </c>
      <c r="E220" s="8" t="n">
        <v>47391.09</v>
      </c>
      <c r="F220" s="7" t="n">
        <v>11224</v>
      </c>
      <c r="G220" s="7" t="n">
        <v>0.147</v>
      </c>
      <c r="H220" s="7" t="n">
        <v>25</v>
      </c>
      <c r="I220" s="7" t="n">
        <v>88.4</v>
      </c>
      <c r="J220" s="9" t="n">
        <v>2.44</v>
      </c>
      <c r="K220" s="7" t="n">
        <v>0</v>
      </c>
      <c r="L220" s="9" t="n">
        <v>4.9</v>
      </c>
      <c r="M220" s="8" t="n">
        <v>836908.24</v>
      </c>
      <c r="N220" s="8" t="n">
        <v>141090.26</v>
      </c>
    </row>
    <row r="221" customFormat="false" ht="15" hidden="false" customHeight="false" outlineLevel="0" collapsed="false">
      <c r="A221" s="4" t="s">
        <v>82</v>
      </c>
      <c r="B221" s="4" t="s">
        <v>17</v>
      </c>
      <c r="C221" s="4" t="s">
        <v>26</v>
      </c>
      <c r="D221" s="4" t="s">
        <v>27</v>
      </c>
      <c r="E221" s="5" t="n">
        <v>69180.54</v>
      </c>
      <c r="F221" s="4" t="n">
        <v>5394</v>
      </c>
      <c r="G221" s="4" t="n">
        <v>0.126</v>
      </c>
      <c r="H221" s="4" t="n">
        <v>12</v>
      </c>
      <c r="I221" s="4" t="n">
        <v>82.9</v>
      </c>
      <c r="J221" s="6" t="n">
        <v>3.27</v>
      </c>
      <c r="K221" s="4" t="n">
        <v>0</v>
      </c>
      <c r="L221" s="6" t="n">
        <v>3.3</v>
      </c>
      <c r="M221" s="5" t="n">
        <v>674289.1</v>
      </c>
      <c r="N221" s="5" t="n">
        <v>117773.79</v>
      </c>
    </row>
    <row r="222" customFormat="false" ht="15" hidden="false" customHeight="false" outlineLevel="0" collapsed="false">
      <c r="A222" s="7" t="s">
        <v>82</v>
      </c>
      <c r="B222" s="7" t="s">
        <v>20</v>
      </c>
      <c r="C222" s="7" t="s">
        <v>26</v>
      </c>
      <c r="D222" s="7" t="s">
        <v>27</v>
      </c>
      <c r="E222" s="8" t="n">
        <v>33987.33</v>
      </c>
      <c r="F222" s="7" t="n">
        <v>5014</v>
      </c>
      <c r="G222" s="7" t="n">
        <v>0.246</v>
      </c>
      <c r="H222" s="7" t="n">
        <v>17</v>
      </c>
      <c r="I222" s="7" t="n">
        <v>94.3</v>
      </c>
      <c r="J222" s="9" t="n">
        <v>10.34</v>
      </c>
      <c r="K222" s="7" t="n">
        <v>0</v>
      </c>
      <c r="L222" s="9" t="n">
        <v>3.9</v>
      </c>
      <c r="M222" s="8" t="n">
        <v>622892.42</v>
      </c>
      <c r="N222" s="8" t="n">
        <v>101032.52</v>
      </c>
    </row>
    <row r="223" customFormat="false" ht="15" hidden="false" customHeight="false" outlineLevel="0" collapsed="false">
      <c r="A223" s="4" t="s">
        <v>82</v>
      </c>
      <c r="B223" s="4" t="s">
        <v>21</v>
      </c>
      <c r="C223" s="4" t="s">
        <v>26</v>
      </c>
      <c r="D223" s="4" t="s">
        <v>27</v>
      </c>
      <c r="E223" s="5" t="n">
        <v>58785.33</v>
      </c>
      <c r="F223" s="4" t="n">
        <v>4467</v>
      </c>
      <c r="G223" s="4" t="n">
        <v>0.229</v>
      </c>
      <c r="H223" s="4" t="n">
        <v>14</v>
      </c>
      <c r="I223" s="4" t="n">
        <v>90.7</v>
      </c>
      <c r="J223" s="6" t="n">
        <v>1.92</v>
      </c>
      <c r="K223" s="4" t="n">
        <v>0</v>
      </c>
      <c r="L223" s="6" t="n">
        <v>3.7</v>
      </c>
      <c r="M223" s="5" t="n">
        <v>673348.56</v>
      </c>
      <c r="N223" s="5" t="n">
        <v>69464.59</v>
      </c>
    </row>
    <row r="224" customFormat="false" ht="15" hidden="false" customHeight="false" outlineLevel="0" collapsed="false">
      <c r="A224" s="7" t="s">
        <v>82</v>
      </c>
      <c r="B224" s="7" t="s">
        <v>22</v>
      </c>
      <c r="C224" s="7" t="s">
        <v>26</v>
      </c>
      <c r="D224" s="7" t="s">
        <v>27</v>
      </c>
      <c r="E224" s="8" t="n">
        <v>16451.85</v>
      </c>
      <c r="F224" s="7" t="n">
        <v>4678</v>
      </c>
      <c r="G224" s="7" t="n">
        <v>0.133</v>
      </c>
      <c r="H224" s="7" t="n">
        <v>11</v>
      </c>
      <c r="I224" s="7" t="n">
        <v>95.9</v>
      </c>
      <c r="J224" s="9" t="n">
        <v>3.1</v>
      </c>
      <c r="K224" s="7" t="n">
        <v>0</v>
      </c>
      <c r="L224" s="9" t="n">
        <v>3.9</v>
      </c>
      <c r="M224" s="8" t="n">
        <v>606278.3</v>
      </c>
      <c r="N224" s="8" t="n">
        <v>102213.26</v>
      </c>
    </row>
    <row r="225" customFormat="false" ht="15" hidden="false" customHeight="false" outlineLevel="0" collapsed="false">
      <c r="A225" s="4" t="s">
        <v>83</v>
      </c>
      <c r="B225" s="4" t="s">
        <v>17</v>
      </c>
      <c r="C225" s="4" t="s">
        <v>18</v>
      </c>
      <c r="D225" s="4" t="s">
        <v>24</v>
      </c>
      <c r="E225" s="5" t="n">
        <v>53367.73</v>
      </c>
      <c r="F225" s="4" t="n">
        <v>7291</v>
      </c>
      <c r="G225" s="4" t="n">
        <v>0.146</v>
      </c>
      <c r="H225" s="4" t="n">
        <v>18</v>
      </c>
      <c r="I225" s="4" t="n">
        <v>90.6</v>
      </c>
      <c r="J225" s="6" t="n">
        <v>6.34</v>
      </c>
      <c r="K225" s="4" t="n">
        <v>1</v>
      </c>
      <c r="L225" s="6" t="n">
        <v>3.8</v>
      </c>
      <c r="M225" s="5" t="n">
        <v>712219.81</v>
      </c>
      <c r="N225" s="5" t="n">
        <v>85906.54</v>
      </c>
    </row>
    <row r="226" customFormat="false" ht="15" hidden="false" customHeight="false" outlineLevel="0" collapsed="false">
      <c r="A226" s="7" t="s">
        <v>83</v>
      </c>
      <c r="B226" s="7" t="s">
        <v>20</v>
      </c>
      <c r="C226" s="7" t="s">
        <v>18</v>
      </c>
      <c r="D226" s="7" t="s">
        <v>24</v>
      </c>
      <c r="E226" s="8" t="n">
        <v>27194.64</v>
      </c>
      <c r="F226" s="7" t="n">
        <v>7404</v>
      </c>
      <c r="G226" s="7" t="n">
        <v>0.088</v>
      </c>
      <c r="H226" s="7" t="n">
        <v>18</v>
      </c>
      <c r="I226" s="7" t="n">
        <v>90.2</v>
      </c>
      <c r="J226" s="9" t="n">
        <v>1.2</v>
      </c>
      <c r="K226" s="7" t="n">
        <v>0</v>
      </c>
      <c r="L226" s="9" t="n">
        <v>3.4</v>
      </c>
      <c r="M226" s="8" t="n">
        <v>672670.54</v>
      </c>
      <c r="N226" s="8" t="n">
        <v>132684.18</v>
      </c>
    </row>
    <row r="227" customFormat="false" ht="15" hidden="false" customHeight="false" outlineLevel="0" collapsed="false">
      <c r="A227" s="4" t="s">
        <v>83</v>
      </c>
      <c r="B227" s="4" t="s">
        <v>21</v>
      </c>
      <c r="C227" s="4" t="s">
        <v>18</v>
      </c>
      <c r="D227" s="4" t="s">
        <v>24</v>
      </c>
      <c r="E227" s="5" t="n">
        <v>66962.74</v>
      </c>
      <c r="F227" s="4" t="n">
        <v>7880</v>
      </c>
      <c r="G227" s="4" t="n">
        <v>0.116</v>
      </c>
      <c r="H227" s="4" t="n">
        <v>19</v>
      </c>
      <c r="I227" s="4" t="n">
        <v>90.4</v>
      </c>
      <c r="J227" s="6" t="n">
        <v>4.5</v>
      </c>
      <c r="K227" s="4" t="n">
        <v>0</v>
      </c>
      <c r="L227" s="6" t="n">
        <v>3.3</v>
      </c>
      <c r="M227" s="5" t="n">
        <v>732667.92</v>
      </c>
      <c r="N227" s="5" t="n">
        <v>128654.46</v>
      </c>
    </row>
    <row r="228" customFormat="false" ht="15" hidden="false" customHeight="false" outlineLevel="0" collapsed="false">
      <c r="A228" s="7" t="s">
        <v>83</v>
      </c>
      <c r="B228" s="7" t="s">
        <v>22</v>
      </c>
      <c r="C228" s="7" t="s">
        <v>18</v>
      </c>
      <c r="D228" s="7" t="s">
        <v>24</v>
      </c>
      <c r="E228" s="8" t="n">
        <v>73540.99</v>
      </c>
      <c r="F228" s="7" t="n">
        <v>8773</v>
      </c>
      <c r="G228" s="7" t="n">
        <v>0.035</v>
      </c>
      <c r="H228" s="7" t="n">
        <v>21</v>
      </c>
      <c r="I228" s="7" t="n">
        <v>84.4</v>
      </c>
      <c r="J228" s="9" t="n">
        <v>6.68</v>
      </c>
      <c r="K228" s="7" t="n">
        <v>0</v>
      </c>
      <c r="L228" s="9" t="n">
        <v>3.6</v>
      </c>
      <c r="M228" s="8" t="n">
        <v>723531.4</v>
      </c>
      <c r="N228" s="8" t="n">
        <v>108794.85</v>
      </c>
    </row>
    <row r="229" customFormat="false" ht="15" hidden="false" customHeight="false" outlineLevel="0" collapsed="false">
      <c r="A229" s="4" t="s">
        <v>84</v>
      </c>
      <c r="B229" s="4" t="s">
        <v>17</v>
      </c>
      <c r="C229" s="4" t="s">
        <v>18</v>
      </c>
      <c r="D229" s="4" t="s">
        <v>34</v>
      </c>
      <c r="E229" s="5" t="n">
        <v>68212.29</v>
      </c>
      <c r="F229" s="4" t="n">
        <v>4713</v>
      </c>
      <c r="G229" s="4" t="n">
        <v>0.198</v>
      </c>
      <c r="H229" s="4" t="n">
        <v>15</v>
      </c>
      <c r="I229" s="4" t="n">
        <v>82.6</v>
      </c>
      <c r="J229" s="6" t="n">
        <v>4.07</v>
      </c>
      <c r="K229" s="4" t="n">
        <v>1</v>
      </c>
      <c r="L229" s="6" t="n">
        <v>3</v>
      </c>
      <c r="M229" s="5" t="n">
        <v>641564.6</v>
      </c>
      <c r="N229" s="5" t="n">
        <v>90468.96</v>
      </c>
    </row>
    <row r="230" customFormat="false" ht="15" hidden="false" customHeight="false" outlineLevel="0" collapsed="false">
      <c r="A230" s="7" t="s">
        <v>84</v>
      </c>
      <c r="B230" s="7" t="s">
        <v>20</v>
      </c>
      <c r="C230" s="7" t="s">
        <v>18</v>
      </c>
      <c r="D230" s="7" t="s">
        <v>34</v>
      </c>
      <c r="E230" s="8" t="n">
        <v>57225.98</v>
      </c>
      <c r="F230" s="7" t="n">
        <v>2842</v>
      </c>
      <c r="G230" s="7" t="n">
        <v>0.112</v>
      </c>
      <c r="H230" s="7" t="n">
        <v>10</v>
      </c>
      <c r="I230" s="7" t="n">
        <v>79.5</v>
      </c>
      <c r="J230" s="9" t="n">
        <v>5.45</v>
      </c>
      <c r="K230" s="7" t="n">
        <v>0</v>
      </c>
      <c r="L230" s="9" t="n">
        <v>3.4</v>
      </c>
      <c r="M230" s="8" t="n">
        <v>536545.49</v>
      </c>
      <c r="N230" s="8" t="n">
        <v>97917.45</v>
      </c>
    </row>
    <row r="231" customFormat="false" ht="15" hidden="false" customHeight="false" outlineLevel="0" collapsed="false">
      <c r="A231" s="4" t="s">
        <v>84</v>
      </c>
      <c r="B231" s="4" t="s">
        <v>21</v>
      </c>
      <c r="C231" s="4" t="s">
        <v>18</v>
      </c>
      <c r="D231" s="4" t="s">
        <v>34</v>
      </c>
      <c r="E231" s="5" t="n">
        <v>42932.02</v>
      </c>
      <c r="F231" s="4" t="n">
        <v>3872</v>
      </c>
      <c r="G231" s="4" t="n">
        <v>0.171</v>
      </c>
      <c r="H231" s="4" t="n">
        <v>12</v>
      </c>
      <c r="I231" s="4" t="n">
        <v>83.2</v>
      </c>
      <c r="J231" s="6" t="n">
        <v>15.58</v>
      </c>
      <c r="K231" s="4" t="n">
        <v>0</v>
      </c>
      <c r="L231" s="6" t="n">
        <v>3.3</v>
      </c>
      <c r="M231" s="5" t="n">
        <v>527681.56</v>
      </c>
      <c r="N231" s="5" t="n">
        <v>63153.05</v>
      </c>
    </row>
    <row r="232" customFormat="false" ht="15" hidden="false" customHeight="false" outlineLevel="0" collapsed="false">
      <c r="A232" s="7" t="s">
        <v>84</v>
      </c>
      <c r="B232" s="7" t="s">
        <v>22</v>
      </c>
      <c r="C232" s="7" t="s">
        <v>18</v>
      </c>
      <c r="D232" s="7" t="s">
        <v>34</v>
      </c>
      <c r="E232" s="8" t="n">
        <v>39341.45</v>
      </c>
      <c r="F232" s="7" t="n">
        <v>1375</v>
      </c>
      <c r="G232" s="7" t="n">
        <v>0.093</v>
      </c>
      <c r="H232" s="7" t="n">
        <v>5</v>
      </c>
      <c r="I232" s="7" t="n">
        <v>95</v>
      </c>
      <c r="J232" s="9" t="n">
        <v>5.32</v>
      </c>
      <c r="K232" s="7" t="n">
        <v>0</v>
      </c>
      <c r="L232" s="9"/>
      <c r="M232" s="8" t="n">
        <v>529598.94</v>
      </c>
      <c r="N232" s="8" t="n">
        <v>84334.33</v>
      </c>
    </row>
    <row r="233" customFormat="false" ht="15" hidden="false" customHeight="false" outlineLevel="0" collapsed="false">
      <c r="A233" s="4" t="s">
        <v>85</v>
      </c>
      <c r="B233" s="4" t="s">
        <v>17</v>
      </c>
      <c r="C233" s="4" t="s">
        <v>18</v>
      </c>
      <c r="D233" s="4" t="s">
        <v>24</v>
      </c>
      <c r="E233" s="5" t="n">
        <v>37324.23</v>
      </c>
      <c r="F233" s="4" t="n">
        <v>5957</v>
      </c>
      <c r="G233" s="4" t="n">
        <v>0.071</v>
      </c>
      <c r="H233" s="4" t="n">
        <v>12</v>
      </c>
      <c r="I233" s="4" t="n">
        <v>85.9</v>
      </c>
      <c r="J233" s="6" t="n">
        <v>0.37</v>
      </c>
      <c r="K233" s="4" t="n">
        <v>0</v>
      </c>
      <c r="L233" s="6" t="n">
        <v>3.8</v>
      </c>
      <c r="M233" s="5" t="n">
        <v>570963.31</v>
      </c>
      <c r="N233" s="5" t="n">
        <v>87342.25</v>
      </c>
    </row>
    <row r="234" customFormat="false" ht="15" hidden="false" customHeight="false" outlineLevel="0" collapsed="false">
      <c r="A234" s="7" t="s">
        <v>85</v>
      </c>
      <c r="B234" s="7" t="s">
        <v>20</v>
      </c>
      <c r="C234" s="7" t="s">
        <v>18</v>
      </c>
      <c r="D234" s="7" t="s">
        <v>24</v>
      </c>
      <c r="E234" s="8" t="n">
        <v>113736</v>
      </c>
      <c r="F234" s="7" t="n">
        <v>8961</v>
      </c>
      <c r="G234" s="7" t="n">
        <v>0.202</v>
      </c>
      <c r="H234" s="7" t="n">
        <v>24</v>
      </c>
      <c r="I234" s="7" t="n">
        <v>86.2</v>
      </c>
      <c r="J234" s="9" t="n">
        <v>21.63</v>
      </c>
      <c r="K234" s="7" t="n">
        <v>0</v>
      </c>
      <c r="L234" s="9" t="n">
        <v>4</v>
      </c>
      <c r="M234" s="8" t="n">
        <v>870937.4</v>
      </c>
      <c r="N234" s="8" t="n">
        <v>175282.74</v>
      </c>
    </row>
    <row r="235" customFormat="false" ht="15" hidden="false" customHeight="false" outlineLevel="0" collapsed="false">
      <c r="A235" s="4" t="s">
        <v>85</v>
      </c>
      <c r="B235" s="4" t="s">
        <v>21</v>
      </c>
      <c r="C235" s="4" t="s">
        <v>18</v>
      </c>
      <c r="D235" s="4" t="s">
        <v>24</v>
      </c>
      <c r="E235" s="5" t="n">
        <v>33173.95</v>
      </c>
      <c r="F235" s="4" t="n">
        <v>6545</v>
      </c>
      <c r="G235" s="4" t="n">
        <v>0.169</v>
      </c>
      <c r="H235" s="4" t="n">
        <v>15</v>
      </c>
      <c r="I235" s="4" t="n">
        <v>84.4</v>
      </c>
      <c r="J235" s="6" t="n">
        <v>2.48</v>
      </c>
      <c r="K235" s="4" t="n">
        <v>0</v>
      </c>
      <c r="L235" s="6" t="n">
        <v>3.9</v>
      </c>
      <c r="M235" s="5" t="n">
        <v>596969.27</v>
      </c>
      <c r="N235" s="5" t="n">
        <v>105669.51</v>
      </c>
    </row>
    <row r="236" customFormat="false" ht="15" hidden="false" customHeight="false" outlineLevel="0" collapsed="false">
      <c r="A236" s="7" t="s">
        <v>85</v>
      </c>
      <c r="B236" s="7" t="s">
        <v>22</v>
      </c>
      <c r="C236" s="7" t="s">
        <v>18</v>
      </c>
      <c r="D236" s="7" t="s">
        <v>24</v>
      </c>
      <c r="E236" s="8" t="n">
        <v>25818.08</v>
      </c>
      <c r="F236" s="7" t="n">
        <v>5457</v>
      </c>
      <c r="G236" s="7" t="n">
        <v>0</v>
      </c>
      <c r="H236" s="7" t="n">
        <v>11</v>
      </c>
      <c r="I236" s="7" t="n">
        <v>95.4</v>
      </c>
      <c r="J236" s="9"/>
      <c r="K236" s="7" t="n">
        <v>0</v>
      </c>
      <c r="L236" s="9" t="n">
        <v>3.7</v>
      </c>
      <c r="M236" s="8" t="n">
        <v>647512.85</v>
      </c>
      <c r="N236" s="8" t="n">
        <v>153835.57</v>
      </c>
    </row>
    <row r="237" customFormat="false" ht="15" hidden="false" customHeight="false" outlineLevel="0" collapsed="false">
      <c r="A237" s="4" t="s">
        <v>86</v>
      </c>
      <c r="B237" s="4" t="s">
        <v>17</v>
      </c>
      <c r="C237" s="4" t="s">
        <v>33</v>
      </c>
      <c r="D237" s="4" t="s">
        <v>19</v>
      </c>
      <c r="E237" s="5" t="n">
        <v>47241.92</v>
      </c>
      <c r="F237" s="4" t="n">
        <v>4264</v>
      </c>
      <c r="G237" s="4" t="n">
        <v>0.069</v>
      </c>
      <c r="H237" s="4" t="n">
        <v>13</v>
      </c>
      <c r="I237" s="4" t="n">
        <v>95.3</v>
      </c>
      <c r="J237" s="6" t="n">
        <v>0.85</v>
      </c>
      <c r="K237" s="4" t="n">
        <v>0</v>
      </c>
      <c r="L237" s="6" t="n">
        <v>4.3</v>
      </c>
      <c r="M237" s="5" t="n">
        <v>658072.14</v>
      </c>
      <c r="N237" s="5" t="n">
        <v>110595.89</v>
      </c>
    </row>
    <row r="238" customFormat="false" ht="15" hidden="false" customHeight="false" outlineLevel="0" collapsed="false">
      <c r="A238" s="7" t="s">
        <v>86</v>
      </c>
      <c r="B238" s="7" t="s">
        <v>20</v>
      </c>
      <c r="C238" s="7" t="s">
        <v>33</v>
      </c>
      <c r="D238" s="7" t="s">
        <v>19</v>
      </c>
      <c r="E238" s="8" t="n">
        <v>61650.79</v>
      </c>
      <c r="F238" s="7" t="n">
        <v>5321</v>
      </c>
      <c r="G238" s="7" t="n">
        <v>0.126</v>
      </c>
      <c r="H238" s="7" t="n">
        <v>17</v>
      </c>
      <c r="I238" s="7" t="n">
        <v>89.2</v>
      </c>
      <c r="J238" s="9" t="n">
        <v>2.13</v>
      </c>
      <c r="K238" s="7" t="n">
        <v>0</v>
      </c>
      <c r="L238" s="9" t="n">
        <v>4</v>
      </c>
      <c r="M238" s="8" t="n">
        <v>723305.11</v>
      </c>
      <c r="N238" s="8" t="n">
        <v>128468.7</v>
      </c>
    </row>
    <row r="239" customFormat="false" ht="15" hidden="false" customHeight="false" outlineLevel="0" collapsed="false">
      <c r="A239" s="4" t="s">
        <v>86</v>
      </c>
      <c r="B239" s="4" t="s">
        <v>21</v>
      </c>
      <c r="C239" s="4" t="s">
        <v>33</v>
      </c>
      <c r="D239" s="4" t="s">
        <v>19</v>
      </c>
      <c r="E239" s="5" t="n">
        <v>62582.71</v>
      </c>
      <c r="F239" s="4" t="n">
        <v>5479</v>
      </c>
      <c r="G239" s="4" t="n">
        <v>0.048</v>
      </c>
      <c r="H239" s="4" t="n">
        <v>16</v>
      </c>
      <c r="I239" s="4" t="n">
        <v>81.2</v>
      </c>
      <c r="J239" s="6" t="n">
        <v>1.46</v>
      </c>
      <c r="K239" s="4" t="n">
        <v>0</v>
      </c>
      <c r="L239" s="6" t="n">
        <v>4.5</v>
      </c>
      <c r="M239" s="5" t="n">
        <v>640666.53</v>
      </c>
      <c r="N239" s="5" t="n">
        <v>134919.16</v>
      </c>
    </row>
    <row r="240" customFormat="false" ht="15" hidden="false" customHeight="false" outlineLevel="0" collapsed="false">
      <c r="A240" s="7" t="s">
        <v>86</v>
      </c>
      <c r="B240" s="7" t="s">
        <v>22</v>
      </c>
      <c r="C240" s="7" t="s">
        <v>33</v>
      </c>
      <c r="D240" s="7" t="s">
        <v>19</v>
      </c>
      <c r="E240" s="8" t="n">
        <v>47944.14</v>
      </c>
      <c r="F240" s="7" t="n">
        <v>6169</v>
      </c>
      <c r="G240" s="7" t="n">
        <v>0.119</v>
      </c>
      <c r="H240" s="7" t="n">
        <v>17</v>
      </c>
      <c r="I240" s="7" t="n">
        <v>92.2</v>
      </c>
      <c r="J240" s="9" t="n">
        <v>3.02</v>
      </c>
      <c r="K240" s="7" t="n">
        <v>0</v>
      </c>
      <c r="L240" s="9" t="n">
        <v>4.1</v>
      </c>
      <c r="M240" s="8" t="n">
        <v>670629.48</v>
      </c>
      <c r="N240" s="8" t="n">
        <v>100140.8</v>
      </c>
    </row>
    <row r="241" customFormat="false" ht="15" hidden="false" customHeight="false" outlineLevel="0" collapsed="false">
      <c r="A241" s="4" t="s">
        <v>87</v>
      </c>
      <c r="B241" s="4" t="s">
        <v>17</v>
      </c>
      <c r="C241" s="4" t="s">
        <v>33</v>
      </c>
      <c r="D241" s="4" t="s">
        <v>34</v>
      </c>
      <c r="E241" s="5" t="n">
        <v>46495.4</v>
      </c>
      <c r="F241" s="4" t="n">
        <v>9908</v>
      </c>
      <c r="G241" s="4" t="n">
        <v>0.121</v>
      </c>
      <c r="H241" s="4" t="n">
        <v>22</v>
      </c>
      <c r="I241" s="4" t="n">
        <v>89.4</v>
      </c>
      <c r="J241" s="6" t="n">
        <v>3.22</v>
      </c>
      <c r="K241" s="4" t="n">
        <v>0</v>
      </c>
      <c r="L241" s="6" t="n">
        <v>3.7</v>
      </c>
      <c r="M241" s="5" t="n">
        <v>721079.35</v>
      </c>
      <c r="N241" s="5" t="n">
        <v>115295.05</v>
      </c>
    </row>
    <row r="242" customFormat="false" ht="15" hidden="false" customHeight="false" outlineLevel="0" collapsed="false">
      <c r="A242" s="7" t="s">
        <v>87</v>
      </c>
      <c r="B242" s="7" t="s">
        <v>20</v>
      </c>
      <c r="C242" s="7" t="s">
        <v>33</v>
      </c>
      <c r="D242" s="7" t="s">
        <v>34</v>
      </c>
      <c r="E242" s="8" t="n">
        <v>72961.95</v>
      </c>
      <c r="F242" s="7" t="n">
        <v>9996</v>
      </c>
      <c r="G242" s="7" t="n">
        <v>0.106</v>
      </c>
      <c r="H242" s="7" t="n">
        <v>22</v>
      </c>
      <c r="I242" s="7" t="n">
        <v>89.1</v>
      </c>
      <c r="J242" s="9" t="n">
        <v>15.66</v>
      </c>
      <c r="K242" s="7" t="n">
        <v>0</v>
      </c>
      <c r="L242" s="9" t="n">
        <v>3.4</v>
      </c>
      <c r="M242" s="8" t="n">
        <v>810355.02</v>
      </c>
      <c r="N242" s="8" t="n">
        <v>131510</v>
      </c>
    </row>
    <row r="243" customFormat="false" ht="15" hidden="false" customHeight="false" outlineLevel="0" collapsed="false">
      <c r="A243" s="4" t="s">
        <v>87</v>
      </c>
      <c r="B243" s="4" t="s">
        <v>21</v>
      </c>
      <c r="C243" s="4" t="s">
        <v>33</v>
      </c>
      <c r="D243" s="4" t="s">
        <v>34</v>
      </c>
      <c r="E243" s="5" t="n">
        <v>59060.05</v>
      </c>
      <c r="F243" s="4" t="n">
        <v>9702</v>
      </c>
      <c r="G243" s="4" t="n">
        <v>0.201</v>
      </c>
      <c r="H243" s="4" t="n">
        <v>23</v>
      </c>
      <c r="I243" s="4" t="n">
        <v>80.9</v>
      </c>
      <c r="J243" s="6" t="n">
        <v>6.96</v>
      </c>
      <c r="K243" s="4" t="n">
        <v>0</v>
      </c>
      <c r="L243" s="6" t="n">
        <v>3.2</v>
      </c>
      <c r="M243" s="5" t="n">
        <v>761919.25</v>
      </c>
      <c r="N243" s="5" t="n">
        <v>111893.06</v>
      </c>
    </row>
    <row r="244" customFormat="false" ht="15" hidden="false" customHeight="false" outlineLevel="0" collapsed="false">
      <c r="A244" s="7" t="s">
        <v>87</v>
      </c>
      <c r="B244" s="7" t="s">
        <v>22</v>
      </c>
      <c r="C244" s="7" t="s">
        <v>33</v>
      </c>
      <c r="D244" s="7" t="s">
        <v>34</v>
      </c>
      <c r="E244" s="8" t="n">
        <v>26248.1</v>
      </c>
      <c r="F244" s="7" t="n">
        <v>9314</v>
      </c>
      <c r="G244" s="7" t="n">
        <v>0.186</v>
      </c>
      <c r="H244" s="7" t="n">
        <v>21</v>
      </c>
      <c r="I244" s="7" t="n">
        <v>83.7</v>
      </c>
      <c r="J244" s="9" t="n">
        <v>4.62</v>
      </c>
      <c r="K244" s="7" t="n">
        <v>0</v>
      </c>
      <c r="L244" s="9" t="n">
        <v>3.3</v>
      </c>
      <c r="M244" s="8" t="n">
        <v>737070.18</v>
      </c>
      <c r="N244" s="8" t="n">
        <v>117593.97</v>
      </c>
    </row>
    <row r="245" customFormat="false" ht="15" hidden="false" customHeight="false" outlineLevel="0" collapsed="false">
      <c r="A245" s="4" t="s">
        <v>88</v>
      </c>
      <c r="B245" s="4" t="s">
        <v>17</v>
      </c>
      <c r="C245" s="4" t="s">
        <v>30</v>
      </c>
      <c r="D245" s="4" t="s">
        <v>27</v>
      </c>
      <c r="E245" s="5" t="n">
        <v>69900.12</v>
      </c>
      <c r="F245" s="4" t="n">
        <v>8055</v>
      </c>
      <c r="G245" s="4" t="n">
        <v>0.281</v>
      </c>
      <c r="H245" s="4" t="n">
        <v>22</v>
      </c>
      <c r="I245" s="4" t="n">
        <v>85.6</v>
      </c>
      <c r="J245" s="6" t="n">
        <v>10.68</v>
      </c>
      <c r="K245" s="4" t="n">
        <v>1</v>
      </c>
      <c r="L245" s="6" t="n">
        <v>2.9</v>
      </c>
      <c r="M245" s="5" t="n">
        <v>776992.93</v>
      </c>
      <c r="N245" s="5" t="n">
        <v>101598.32</v>
      </c>
    </row>
    <row r="246" customFormat="false" ht="15" hidden="false" customHeight="false" outlineLevel="0" collapsed="false">
      <c r="A246" s="7" t="s">
        <v>88</v>
      </c>
      <c r="B246" s="7" t="s">
        <v>20</v>
      </c>
      <c r="C246" s="7" t="s">
        <v>30</v>
      </c>
      <c r="D246" s="7" t="s">
        <v>27</v>
      </c>
      <c r="E246" s="8" t="n">
        <v>51781.6</v>
      </c>
      <c r="F246" s="7" t="n">
        <v>5648</v>
      </c>
      <c r="G246" s="7" t="n">
        <v>0.059</v>
      </c>
      <c r="H246" s="7" t="n">
        <v>13</v>
      </c>
      <c r="I246" s="7" t="n">
        <v>85.5</v>
      </c>
      <c r="J246" s="9" t="n">
        <v>4.04</v>
      </c>
      <c r="K246" s="7" t="n">
        <v>0</v>
      </c>
      <c r="L246" s="9" t="n">
        <v>3.7</v>
      </c>
      <c r="M246" s="8" t="n">
        <v>676337.41</v>
      </c>
      <c r="N246" s="8" t="n">
        <v>104355.77</v>
      </c>
    </row>
    <row r="247" customFormat="false" ht="15" hidden="false" customHeight="false" outlineLevel="0" collapsed="false">
      <c r="A247" s="4" t="s">
        <v>88</v>
      </c>
      <c r="B247" s="4" t="s">
        <v>21</v>
      </c>
      <c r="C247" s="4" t="s">
        <v>30</v>
      </c>
      <c r="D247" s="4" t="s">
        <v>27</v>
      </c>
      <c r="E247" s="5" t="n">
        <v>70799.64</v>
      </c>
      <c r="F247" s="4" t="n">
        <v>10076</v>
      </c>
      <c r="G247" s="4" t="n">
        <v>0.152</v>
      </c>
      <c r="H247" s="4" t="n">
        <v>24</v>
      </c>
      <c r="I247" s="4" t="n">
        <v>84.8</v>
      </c>
      <c r="J247" s="6" t="n">
        <v>1.87</v>
      </c>
      <c r="K247" s="4" t="n">
        <v>0</v>
      </c>
      <c r="L247" s="6" t="n">
        <v>3.5</v>
      </c>
      <c r="M247" s="5" t="n">
        <v>828219.67</v>
      </c>
      <c r="N247" s="5" t="n">
        <v>179806.87</v>
      </c>
    </row>
    <row r="248" customFormat="false" ht="15" hidden="false" customHeight="false" outlineLevel="0" collapsed="false">
      <c r="A248" s="7" t="s">
        <v>88</v>
      </c>
      <c r="B248" s="7" t="s">
        <v>22</v>
      </c>
      <c r="C248" s="7" t="s">
        <v>30</v>
      </c>
      <c r="D248" s="7" t="s">
        <v>27</v>
      </c>
      <c r="E248" s="8" t="n">
        <v>53546.34</v>
      </c>
      <c r="F248" s="7" t="n">
        <v>8004</v>
      </c>
      <c r="G248" s="7" t="n">
        <v>0</v>
      </c>
      <c r="H248" s="7" t="n">
        <v>21</v>
      </c>
      <c r="I248" s="7" t="n">
        <v>95.2</v>
      </c>
      <c r="J248" s="9" t="n">
        <v>2.83</v>
      </c>
      <c r="K248" s="7" t="n">
        <v>0</v>
      </c>
      <c r="L248" s="9" t="n">
        <v>3</v>
      </c>
      <c r="M248" s="8" t="n">
        <v>763159.92</v>
      </c>
      <c r="N248" s="8" t="n">
        <v>177104.87</v>
      </c>
    </row>
    <row r="249" customFormat="false" ht="15" hidden="false" customHeight="false" outlineLevel="0" collapsed="false">
      <c r="A249" s="4" t="s">
        <v>89</v>
      </c>
      <c r="B249" s="4" t="s">
        <v>17</v>
      </c>
      <c r="C249" s="4" t="s">
        <v>18</v>
      </c>
      <c r="D249" s="4" t="s">
        <v>24</v>
      </c>
      <c r="E249" s="5" t="n">
        <v>76942.2</v>
      </c>
      <c r="F249" s="4" t="n">
        <v>8934</v>
      </c>
      <c r="G249" s="4" t="n">
        <v>0.084</v>
      </c>
      <c r="H249" s="4" t="n">
        <v>20</v>
      </c>
      <c r="I249" s="4" t="n">
        <v>91</v>
      </c>
      <c r="J249" s="6" t="n">
        <v>0.95</v>
      </c>
      <c r="K249" s="4" t="n">
        <v>0</v>
      </c>
      <c r="L249" s="6" t="n">
        <v>3.2</v>
      </c>
      <c r="M249" s="5" t="n">
        <v>802001.68</v>
      </c>
      <c r="N249" s="5" t="n">
        <v>159715.82</v>
      </c>
    </row>
    <row r="250" customFormat="false" ht="15" hidden="false" customHeight="false" outlineLevel="0" collapsed="false">
      <c r="A250" s="7" t="s">
        <v>89</v>
      </c>
      <c r="B250" s="7" t="s">
        <v>20</v>
      </c>
      <c r="C250" s="7" t="s">
        <v>18</v>
      </c>
      <c r="D250" s="7" t="s">
        <v>24</v>
      </c>
      <c r="E250" s="8" t="n">
        <v>48060.78</v>
      </c>
      <c r="F250" s="7" t="n">
        <v>8733</v>
      </c>
      <c r="G250" s="7" t="n">
        <v>0</v>
      </c>
      <c r="H250" s="7" t="n">
        <v>20</v>
      </c>
      <c r="I250" s="7" t="n">
        <v>89.9</v>
      </c>
      <c r="J250" s="9" t="n">
        <v>0.8</v>
      </c>
      <c r="K250" s="7" t="n">
        <v>0</v>
      </c>
      <c r="L250" s="9" t="n">
        <v>3.4</v>
      </c>
      <c r="M250" s="8" t="n">
        <v>750471.34</v>
      </c>
      <c r="N250" s="8" t="n">
        <v>133788.04</v>
      </c>
    </row>
    <row r="251" customFormat="false" ht="15" hidden="false" customHeight="false" outlineLevel="0" collapsed="false">
      <c r="A251" s="4" t="s">
        <v>89</v>
      </c>
      <c r="B251" s="4" t="s">
        <v>21</v>
      </c>
      <c r="C251" s="4" t="s">
        <v>18</v>
      </c>
      <c r="D251" s="4" t="s">
        <v>24</v>
      </c>
      <c r="E251" s="5" t="n">
        <v>57390.04</v>
      </c>
      <c r="F251" s="4" t="n">
        <v>7374</v>
      </c>
      <c r="G251" s="4" t="n">
        <v>0.21</v>
      </c>
      <c r="H251" s="4" t="n">
        <v>21</v>
      </c>
      <c r="I251" s="4" t="n">
        <v>91.8</v>
      </c>
      <c r="J251" s="6" t="n">
        <v>0.2</v>
      </c>
      <c r="K251" s="4" t="n">
        <v>0</v>
      </c>
      <c r="L251" s="6" t="n">
        <v>3.1</v>
      </c>
      <c r="M251" s="5" t="n">
        <v>679230.86</v>
      </c>
      <c r="N251" s="5" t="n">
        <v>106927.58</v>
      </c>
    </row>
    <row r="252" customFormat="false" ht="15" hidden="false" customHeight="false" outlineLevel="0" collapsed="false">
      <c r="A252" s="7" t="s">
        <v>89</v>
      </c>
      <c r="B252" s="7" t="s">
        <v>22</v>
      </c>
      <c r="C252" s="7" t="s">
        <v>18</v>
      </c>
      <c r="D252" s="7" t="s">
        <v>24</v>
      </c>
      <c r="E252" s="8" t="n">
        <v>21536.18</v>
      </c>
      <c r="F252" s="7" t="n">
        <v>8119</v>
      </c>
      <c r="G252" s="7" t="n">
        <v>0.227</v>
      </c>
      <c r="H252" s="7" t="n">
        <v>20</v>
      </c>
      <c r="I252" s="7" t="n">
        <v>90.4</v>
      </c>
      <c r="J252" s="9" t="n">
        <v>1.7</v>
      </c>
      <c r="K252" s="7" t="n">
        <v>0</v>
      </c>
      <c r="L252" s="9" t="n">
        <v>3.3</v>
      </c>
      <c r="M252" s="8" t="n">
        <v>679888.74</v>
      </c>
      <c r="N252" s="8" t="n">
        <v>83406.89</v>
      </c>
    </row>
    <row r="253" customFormat="false" ht="15" hidden="false" customHeight="false" outlineLevel="0" collapsed="false">
      <c r="A253" s="4" t="s">
        <v>90</v>
      </c>
      <c r="B253" s="4" t="s">
        <v>17</v>
      </c>
      <c r="C253" s="4" t="s">
        <v>26</v>
      </c>
      <c r="D253" s="4" t="s">
        <v>24</v>
      </c>
      <c r="E253" s="5" t="n">
        <v>40923.67</v>
      </c>
      <c r="F253" s="4" t="n">
        <v>3875</v>
      </c>
      <c r="G253" s="4" t="n">
        <v>0.15</v>
      </c>
      <c r="H253" s="4" t="n">
        <v>10</v>
      </c>
      <c r="I253" s="4" t="n">
        <v>96.1</v>
      </c>
      <c r="J253" s="6"/>
      <c r="K253" s="4" t="n">
        <v>0</v>
      </c>
      <c r="L253" s="6" t="n">
        <v>3.8</v>
      </c>
      <c r="M253" s="5" t="n">
        <v>606783.67</v>
      </c>
      <c r="N253" s="5" t="n">
        <v>74515.87</v>
      </c>
    </row>
    <row r="254" customFormat="false" ht="15" hidden="false" customHeight="false" outlineLevel="0" collapsed="false">
      <c r="A254" s="7" t="s">
        <v>90</v>
      </c>
      <c r="B254" s="7" t="s">
        <v>20</v>
      </c>
      <c r="C254" s="7" t="s">
        <v>26</v>
      </c>
      <c r="D254" s="7" t="s">
        <v>24</v>
      </c>
      <c r="E254" s="8" t="n">
        <v>72932.55</v>
      </c>
      <c r="F254" s="7" t="n">
        <v>5765</v>
      </c>
      <c r="G254" s="7" t="n">
        <v>0.026</v>
      </c>
      <c r="H254" s="7" t="n">
        <v>17</v>
      </c>
      <c r="I254" s="7" t="n">
        <v>81.8</v>
      </c>
      <c r="J254" s="9" t="n">
        <v>5.1</v>
      </c>
      <c r="K254" s="7" t="n">
        <v>0</v>
      </c>
      <c r="L254" s="9" t="n">
        <v>3.6</v>
      </c>
      <c r="M254" s="8" t="n">
        <v>642751.42</v>
      </c>
      <c r="N254" s="8" t="n">
        <v>131942.15</v>
      </c>
    </row>
    <row r="255" customFormat="false" ht="15" hidden="false" customHeight="false" outlineLevel="0" collapsed="false">
      <c r="A255" s="4" t="s">
        <v>90</v>
      </c>
      <c r="B255" s="4" t="s">
        <v>21</v>
      </c>
      <c r="C255" s="4" t="s">
        <v>26</v>
      </c>
      <c r="D255" s="4" t="s">
        <v>24</v>
      </c>
      <c r="E255" s="5" t="n">
        <v>38361.93</v>
      </c>
      <c r="F255" s="4" t="n">
        <v>6322</v>
      </c>
      <c r="G255" s="4" t="n">
        <v>0.273</v>
      </c>
      <c r="H255" s="4" t="n">
        <v>15</v>
      </c>
      <c r="I255" s="4" t="n">
        <v>88.4</v>
      </c>
      <c r="J255" s="6" t="n">
        <v>0.83</v>
      </c>
      <c r="K255" s="4" t="n">
        <v>0</v>
      </c>
      <c r="L255" s="6" t="n">
        <v>4</v>
      </c>
      <c r="M255" s="5" t="n">
        <v>647953.78</v>
      </c>
      <c r="N255" s="5" t="n">
        <v>118497.43</v>
      </c>
    </row>
    <row r="256" customFormat="false" ht="15" hidden="false" customHeight="false" outlineLevel="0" collapsed="false">
      <c r="A256" s="7" t="s">
        <v>90</v>
      </c>
      <c r="B256" s="7" t="s">
        <v>22</v>
      </c>
      <c r="C256" s="7" t="s">
        <v>26</v>
      </c>
      <c r="D256" s="7" t="s">
        <v>24</v>
      </c>
      <c r="E256" s="8" t="n">
        <v>97480.94</v>
      </c>
      <c r="F256" s="7" t="n">
        <v>6840</v>
      </c>
      <c r="G256" s="7" t="n">
        <v>0.087</v>
      </c>
      <c r="H256" s="7" t="n">
        <v>14</v>
      </c>
      <c r="I256" s="7" t="n">
        <v>79.2</v>
      </c>
      <c r="J256" s="9" t="n">
        <v>1.14</v>
      </c>
      <c r="K256" s="7" t="n">
        <v>0</v>
      </c>
      <c r="L256" s="9" t="n">
        <v>4</v>
      </c>
      <c r="M256" s="8" t="n">
        <v>729440.45</v>
      </c>
      <c r="N256" s="8" t="n">
        <v>87614.29</v>
      </c>
    </row>
    <row r="257" customFormat="false" ht="15" hidden="false" customHeight="false" outlineLevel="0" collapsed="false">
      <c r="A257" s="4" t="s">
        <v>91</v>
      </c>
      <c r="B257" s="4" t="s">
        <v>17</v>
      </c>
      <c r="C257" s="4" t="s">
        <v>30</v>
      </c>
      <c r="D257" s="4" t="s">
        <v>27</v>
      </c>
      <c r="E257" s="5" t="n">
        <v>81801.8</v>
      </c>
      <c r="F257" s="4" t="n">
        <v>6782</v>
      </c>
      <c r="G257" s="4" t="n">
        <v>0.05</v>
      </c>
      <c r="H257" s="4" t="n">
        <v>16</v>
      </c>
      <c r="I257" s="4" t="n">
        <v>99</v>
      </c>
      <c r="J257" s="6" t="n">
        <v>9.54</v>
      </c>
      <c r="K257" s="4" t="n">
        <v>0</v>
      </c>
      <c r="L257" s="6" t="n">
        <v>3.7</v>
      </c>
      <c r="M257" s="5" t="n">
        <v>764949</v>
      </c>
      <c r="N257" s="5" t="n">
        <v>148322.43</v>
      </c>
    </row>
    <row r="258" customFormat="false" ht="15" hidden="false" customHeight="false" outlineLevel="0" collapsed="false">
      <c r="A258" s="7" t="s">
        <v>91</v>
      </c>
      <c r="B258" s="7" t="s">
        <v>20</v>
      </c>
      <c r="C258" s="7" t="s">
        <v>30</v>
      </c>
      <c r="D258" s="7" t="s">
        <v>27</v>
      </c>
      <c r="E258" s="8" t="n">
        <v>63582.11</v>
      </c>
      <c r="F258" s="7" t="n">
        <v>6856</v>
      </c>
      <c r="G258" s="7" t="n">
        <v>0.074</v>
      </c>
      <c r="H258" s="7" t="n">
        <v>17</v>
      </c>
      <c r="I258" s="7" t="n">
        <v>89.5</v>
      </c>
      <c r="J258" s="9" t="n">
        <v>5.48</v>
      </c>
      <c r="K258" s="7" t="n">
        <v>0</v>
      </c>
      <c r="L258" s="9" t="n">
        <v>3.2</v>
      </c>
      <c r="M258" s="8" t="n">
        <v>799046.94</v>
      </c>
      <c r="N258" s="8" t="n">
        <v>144553.64</v>
      </c>
    </row>
    <row r="259" customFormat="false" ht="15" hidden="false" customHeight="false" outlineLevel="0" collapsed="false">
      <c r="A259" s="4" t="s">
        <v>91</v>
      </c>
      <c r="B259" s="4" t="s">
        <v>21</v>
      </c>
      <c r="C259" s="4" t="s">
        <v>30</v>
      </c>
      <c r="D259" s="4" t="s">
        <v>27</v>
      </c>
      <c r="E259" s="5" t="n">
        <v>75412.74</v>
      </c>
      <c r="F259" s="4" t="n">
        <v>5641</v>
      </c>
      <c r="G259" s="4" t="n">
        <v>0.059</v>
      </c>
      <c r="H259" s="4" t="n">
        <v>13</v>
      </c>
      <c r="I259" s="4" t="n">
        <v>87.9</v>
      </c>
      <c r="J259" s="6" t="n">
        <v>0.84</v>
      </c>
      <c r="K259" s="4" t="n">
        <v>0</v>
      </c>
      <c r="L259" s="6" t="n">
        <v>3.6</v>
      </c>
      <c r="M259" s="5" t="n">
        <v>720079.54</v>
      </c>
      <c r="N259" s="5" t="n">
        <v>119499.47</v>
      </c>
    </row>
    <row r="260" customFormat="false" ht="15" hidden="false" customHeight="false" outlineLevel="0" collapsed="false">
      <c r="A260" s="7" t="s">
        <v>91</v>
      </c>
      <c r="B260" s="7" t="s">
        <v>22</v>
      </c>
      <c r="C260" s="7" t="s">
        <v>30</v>
      </c>
      <c r="D260" s="7" t="s">
        <v>27</v>
      </c>
      <c r="E260" s="8" t="n">
        <v>36290.08</v>
      </c>
      <c r="F260" s="7" t="n">
        <v>5787</v>
      </c>
      <c r="G260" s="7" t="n">
        <v>0</v>
      </c>
      <c r="H260" s="7" t="n">
        <v>17</v>
      </c>
      <c r="I260" s="7" t="n">
        <v>88.3</v>
      </c>
      <c r="J260" s="9" t="n">
        <v>4.19</v>
      </c>
      <c r="K260" s="7" t="n">
        <v>0</v>
      </c>
      <c r="L260" s="9" t="n">
        <v>4.1</v>
      </c>
      <c r="M260" s="8" t="n">
        <v>612390.14</v>
      </c>
      <c r="N260" s="8" t="n">
        <v>108985.74</v>
      </c>
    </row>
    <row r="261" customFormat="false" ht="15" hidden="false" customHeight="false" outlineLevel="0" collapsed="false">
      <c r="A261" s="4" t="s">
        <v>92</v>
      </c>
      <c r="B261" s="4" t="s">
        <v>17</v>
      </c>
      <c r="C261" s="4" t="s">
        <v>30</v>
      </c>
      <c r="D261" s="4" t="s">
        <v>34</v>
      </c>
      <c r="E261" s="5" t="n">
        <v>65272.58</v>
      </c>
      <c r="F261" s="4" t="n">
        <v>8165</v>
      </c>
      <c r="G261" s="4" t="n">
        <v>0.051</v>
      </c>
      <c r="H261" s="4" t="n">
        <v>19</v>
      </c>
      <c r="I261" s="4" t="n">
        <v>87.8</v>
      </c>
      <c r="J261" s="6" t="n">
        <v>1.26</v>
      </c>
      <c r="K261" s="4" t="n">
        <v>1</v>
      </c>
      <c r="L261" s="6" t="n">
        <v>4.3</v>
      </c>
      <c r="M261" s="5" t="n">
        <v>840108.12</v>
      </c>
      <c r="N261" s="5" t="n">
        <v>126587.01</v>
      </c>
    </row>
    <row r="262" customFormat="false" ht="15" hidden="false" customHeight="false" outlineLevel="0" collapsed="false">
      <c r="A262" s="7" t="s">
        <v>92</v>
      </c>
      <c r="B262" s="7" t="s">
        <v>20</v>
      </c>
      <c r="C262" s="7" t="s">
        <v>30</v>
      </c>
      <c r="D262" s="7" t="s">
        <v>34</v>
      </c>
      <c r="E262" s="8" t="n">
        <v>28670.43</v>
      </c>
      <c r="F262" s="7" t="n">
        <v>7574</v>
      </c>
      <c r="G262" s="7" t="n">
        <v>0.114</v>
      </c>
      <c r="H262" s="7" t="n">
        <v>19</v>
      </c>
      <c r="I262" s="7" t="n">
        <v>82.7</v>
      </c>
      <c r="J262" s="9" t="n">
        <v>2.74</v>
      </c>
      <c r="K262" s="7" t="n">
        <v>0</v>
      </c>
      <c r="L262" s="9" t="n">
        <v>4.6</v>
      </c>
      <c r="M262" s="8" t="n">
        <v>697888.09</v>
      </c>
      <c r="N262" s="8" t="n">
        <v>116249.87</v>
      </c>
    </row>
    <row r="263" customFormat="false" ht="15" hidden="false" customHeight="false" outlineLevel="0" collapsed="false">
      <c r="A263" s="4" t="s">
        <v>92</v>
      </c>
      <c r="B263" s="4" t="s">
        <v>21</v>
      </c>
      <c r="C263" s="4" t="s">
        <v>30</v>
      </c>
      <c r="D263" s="4" t="s">
        <v>34</v>
      </c>
      <c r="E263" s="5" t="n">
        <v>44189.34</v>
      </c>
      <c r="F263" s="4" t="n">
        <v>8634</v>
      </c>
      <c r="G263" s="4" t="n">
        <v>0.143</v>
      </c>
      <c r="H263" s="4" t="n">
        <v>19</v>
      </c>
      <c r="I263" s="4" t="n">
        <v>87.5</v>
      </c>
      <c r="J263" s="6" t="n">
        <v>3.69</v>
      </c>
      <c r="K263" s="4" t="n">
        <v>0</v>
      </c>
      <c r="L263" s="6" t="n">
        <v>4.4</v>
      </c>
      <c r="M263" s="5" t="n">
        <v>746115.59</v>
      </c>
      <c r="N263" s="5" t="n">
        <v>94662.96</v>
      </c>
    </row>
    <row r="264" customFormat="false" ht="15" hidden="false" customHeight="false" outlineLevel="0" collapsed="false">
      <c r="A264" s="7" t="s">
        <v>92</v>
      </c>
      <c r="B264" s="7" t="s">
        <v>22</v>
      </c>
      <c r="C264" s="7" t="s">
        <v>30</v>
      </c>
      <c r="D264" s="7" t="s">
        <v>34</v>
      </c>
      <c r="E264" s="8" t="n">
        <v>38397.82</v>
      </c>
      <c r="F264" s="7" t="n">
        <v>7836</v>
      </c>
      <c r="G264" s="7" t="n">
        <v>0.007</v>
      </c>
      <c r="H264" s="7" t="n">
        <v>21</v>
      </c>
      <c r="I264" s="7" t="n">
        <v>92.2</v>
      </c>
      <c r="J264" s="9" t="n">
        <v>1.82</v>
      </c>
      <c r="K264" s="7" t="n">
        <v>0</v>
      </c>
      <c r="L264" s="9" t="n">
        <v>3.6</v>
      </c>
      <c r="M264" s="8" t="n">
        <v>776110.32</v>
      </c>
      <c r="N264" s="8" t="n">
        <v>139676.21</v>
      </c>
    </row>
    <row r="265" customFormat="false" ht="15" hidden="false" customHeight="false" outlineLevel="0" collapsed="false">
      <c r="A265" s="4" t="s">
        <v>93</v>
      </c>
      <c r="B265" s="4" t="s">
        <v>17</v>
      </c>
      <c r="C265" s="4" t="s">
        <v>33</v>
      </c>
      <c r="D265" s="4" t="s">
        <v>24</v>
      </c>
      <c r="E265" s="5" t="n">
        <v>14519.37</v>
      </c>
      <c r="F265" s="4" t="n">
        <v>3047</v>
      </c>
      <c r="G265" s="4" t="n">
        <v>0.135</v>
      </c>
      <c r="H265" s="4" t="n">
        <v>10</v>
      </c>
      <c r="I265" s="4" t="n">
        <v>90.3</v>
      </c>
      <c r="J265" s="6" t="n">
        <v>6.62</v>
      </c>
      <c r="K265" s="4" t="n">
        <v>0</v>
      </c>
      <c r="L265" s="6" t="n">
        <v>4.2</v>
      </c>
      <c r="M265" s="5" t="n">
        <v>528852.62</v>
      </c>
      <c r="N265" s="5" t="n">
        <v>68426.21</v>
      </c>
    </row>
    <row r="266" customFormat="false" ht="15" hidden="false" customHeight="false" outlineLevel="0" collapsed="false">
      <c r="A266" s="7" t="s">
        <v>93</v>
      </c>
      <c r="B266" s="7" t="s">
        <v>20</v>
      </c>
      <c r="C266" s="7" t="s">
        <v>33</v>
      </c>
      <c r="D266" s="7" t="s">
        <v>24</v>
      </c>
      <c r="E266" s="8" t="n">
        <v>43288.2</v>
      </c>
      <c r="F266" s="7" t="n">
        <v>4783</v>
      </c>
      <c r="G266" s="7" t="n">
        <v>0.169</v>
      </c>
      <c r="H266" s="7" t="n">
        <v>13</v>
      </c>
      <c r="I266" s="7" t="n">
        <v>87.3</v>
      </c>
      <c r="J266" s="9"/>
      <c r="K266" s="7" t="n">
        <v>0</v>
      </c>
      <c r="L266" s="9" t="n">
        <v>4.2</v>
      </c>
      <c r="M266" s="8" t="n">
        <v>605751.33</v>
      </c>
      <c r="N266" s="8" t="n">
        <v>60685.53</v>
      </c>
    </row>
    <row r="267" customFormat="false" ht="15" hidden="false" customHeight="false" outlineLevel="0" collapsed="false">
      <c r="A267" s="4" t="s">
        <v>93</v>
      </c>
      <c r="B267" s="4" t="s">
        <v>21</v>
      </c>
      <c r="C267" s="4" t="s">
        <v>33</v>
      </c>
      <c r="D267" s="4" t="s">
        <v>24</v>
      </c>
      <c r="E267" s="5" t="n">
        <v>51450.55</v>
      </c>
      <c r="F267" s="4" t="n">
        <v>4902</v>
      </c>
      <c r="G267" s="4" t="n">
        <v>0.086</v>
      </c>
      <c r="H267" s="4" t="n">
        <v>11</v>
      </c>
      <c r="I267" s="4" t="n">
        <v>83.7</v>
      </c>
      <c r="J267" s="6" t="n">
        <v>6.92</v>
      </c>
      <c r="K267" s="4" t="n">
        <v>1</v>
      </c>
      <c r="L267" s="6" t="n">
        <v>4.2</v>
      </c>
      <c r="M267" s="5" t="n">
        <v>677640.65</v>
      </c>
      <c r="N267" s="5" t="n">
        <v>111610.89</v>
      </c>
    </row>
    <row r="268" customFormat="false" ht="15" hidden="false" customHeight="false" outlineLevel="0" collapsed="false">
      <c r="A268" s="7" t="s">
        <v>93</v>
      </c>
      <c r="B268" s="7" t="s">
        <v>22</v>
      </c>
      <c r="C268" s="7" t="s">
        <v>33</v>
      </c>
      <c r="D268" s="7" t="s">
        <v>24</v>
      </c>
      <c r="E268" s="8" t="n">
        <v>58688.26</v>
      </c>
      <c r="F268" s="7" t="n">
        <v>4022</v>
      </c>
      <c r="G268" s="7" t="n">
        <v>0.217</v>
      </c>
      <c r="H268" s="7" t="n">
        <v>12</v>
      </c>
      <c r="I268" s="7" t="n">
        <v>93.8</v>
      </c>
      <c r="J268" s="9" t="n">
        <v>11.78</v>
      </c>
      <c r="K268" s="7" t="n">
        <v>0</v>
      </c>
      <c r="L268" s="9" t="n">
        <v>3.7</v>
      </c>
      <c r="M268" s="8" t="n">
        <v>636613.23</v>
      </c>
      <c r="N268" s="8" t="n">
        <v>78908.35</v>
      </c>
    </row>
    <row r="269" customFormat="false" ht="15" hidden="false" customHeight="false" outlineLevel="0" collapsed="false">
      <c r="A269" s="4" t="s">
        <v>94</v>
      </c>
      <c r="B269" s="4" t="s">
        <v>17</v>
      </c>
      <c r="C269" s="4" t="s">
        <v>18</v>
      </c>
      <c r="D269" s="4" t="s">
        <v>24</v>
      </c>
      <c r="E269" s="5" t="n">
        <v>58981.91</v>
      </c>
      <c r="F269" s="4" t="n">
        <v>7324</v>
      </c>
      <c r="G269" s="4" t="n">
        <v>0.094</v>
      </c>
      <c r="H269" s="4" t="n">
        <v>15</v>
      </c>
      <c r="I269" s="4" t="n">
        <v>95.8</v>
      </c>
      <c r="J269" s="6" t="n">
        <v>0.5</v>
      </c>
      <c r="K269" s="4" t="n">
        <v>0</v>
      </c>
      <c r="L269" s="6" t="n">
        <v>3.5</v>
      </c>
      <c r="M269" s="5" t="n">
        <v>708985.19</v>
      </c>
      <c r="N269" s="5" t="n">
        <v>125368.16</v>
      </c>
    </row>
    <row r="270" customFormat="false" ht="15" hidden="false" customHeight="false" outlineLevel="0" collapsed="false">
      <c r="A270" s="7" t="s">
        <v>94</v>
      </c>
      <c r="B270" s="7" t="s">
        <v>20</v>
      </c>
      <c r="C270" s="7" t="s">
        <v>18</v>
      </c>
      <c r="D270" s="7" t="s">
        <v>24</v>
      </c>
      <c r="E270" s="8" t="n">
        <v>73454.54</v>
      </c>
      <c r="F270" s="7" t="n">
        <v>8129</v>
      </c>
      <c r="G270" s="7" t="n">
        <v>0.211</v>
      </c>
      <c r="H270" s="7" t="n">
        <v>20</v>
      </c>
      <c r="I270" s="7" t="n">
        <v>85.2</v>
      </c>
      <c r="J270" s="9" t="n">
        <v>0.88</v>
      </c>
      <c r="K270" s="7" t="n">
        <v>0</v>
      </c>
      <c r="L270" s="9" t="n">
        <v>3.7</v>
      </c>
      <c r="M270" s="8" t="n">
        <v>767792.94</v>
      </c>
      <c r="N270" s="8" t="n">
        <v>96235.77</v>
      </c>
    </row>
    <row r="271" customFormat="false" ht="15" hidden="false" customHeight="false" outlineLevel="0" collapsed="false">
      <c r="A271" s="4" t="s">
        <v>94</v>
      </c>
      <c r="B271" s="4" t="s">
        <v>21</v>
      </c>
      <c r="C271" s="4" t="s">
        <v>18</v>
      </c>
      <c r="D271" s="4" t="s">
        <v>24</v>
      </c>
      <c r="E271" s="5" t="n">
        <v>56602.39</v>
      </c>
      <c r="F271" s="4" t="n">
        <v>7969</v>
      </c>
      <c r="G271" s="4" t="n">
        <v>0.17</v>
      </c>
      <c r="H271" s="4" t="n">
        <v>21</v>
      </c>
      <c r="I271" s="4" t="n">
        <v>88.3</v>
      </c>
      <c r="J271" s="6" t="n">
        <v>2.25</v>
      </c>
      <c r="K271" s="4" t="n">
        <v>0</v>
      </c>
      <c r="L271" s="6" t="n">
        <v>3.7</v>
      </c>
      <c r="M271" s="5" t="n">
        <v>745580.51</v>
      </c>
      <c r="N271" s="5" t="n">
        <v>116273.68</v>
      </c>
    </row>
    <row r="272" customFormat="false" ht="15" hidden="false" customHeight="false" outlineLevel="0" collapsed="false">
      <c r="A272" s="7" t="s">
        <v>94</v>
      </c>
      <c r="B272" s="7" t="s">
        <v>22</v>
      </c>
      <c r="C272" s="7" t="s">
        <v>18</v>
      </c>
      <c r="D272" s="7" t="s">
        <v>24</v>
      </c>
      <c r="E272" s="8" t="n">
        <v>67722.29</v>
      </c>
      <c r="F272" s="7" t="n">
        <v>7240</v>
      </c>
      <c r="G272" s="7" t="n">
        <v>0.026</v>
      </c>
      <c r="H272" s="7" t="n">
        <v>15</v>
      </c>
      <c r="I272" s="7" t="n">
        <v>92.9</v>
      </c>
      <c r="J272" s="9" t="n">
        <v>0.29</v>
      </c>
      <c r="K272" s="7" t="n">
        <v>0</v>
      </c>
      <c r="L272" s="9" t="n">
        <v>3.5</v>
      </c>
      <c r="M272" s="8" t="n">
        <v>762328.31</v>
      </c>
      <c r="N272" s="8" t="n">
        <v>159158.19</v>
      </c>
    </row>
    <row r="273" customFormat="false" ht="15" hidden="false" customHeight="false" outlineLevel="0" collapsed="false">
      <c r="A273" s="4" t="s">
        <v>95</v>
      </c>
      <c r="B273" s="4" t="s">
        <v>17</v>
      </c>
      <c r="C273" s="4" t="s">
        <v>18</v>
      </c>
      <c r="D273" s="4" t="s">
        <v>34</v>
      </c>
      <c r="E273" s="5" t="n">
        <v>48752.92</v>
      </c>
      <c r="F273" s="4" t="n">
        <v>8052</v>
      </c>
      <c r="G273" s="4" t="n">
        <v>0.106</v>
      </c>
      <c r="H273" s="4" t="n">
        <v>16</v>
      </c>
      <c r="I273" s="4" t="n">
        <v>94.9</v>
      </c>
      <c r="J273" s="6" t="n">
        <v>0.65</v>
      </c>
      <c r="K273" s="4" t="n">
        <v>0</v>
      </c>
      <c r="L273" s="6" t="n">
        <v>3.6</v>
      </c>
      <c r="M273" s="5" t="n">
        <v>660633.99</v>
      </c>
      <c r="N273" s="5" t="n">
        <v>118768.66</v>
      </c>
    </row>
    <row r="274" customFormat="false" ht="15" hidden="false" customHeight="false" outlineLevel="0" collapsed="false">
      <c r="A274" s="7" t="s">
        <v>95</v>
      </c>
      <c r="B274" s="7" t="s">
        <v>20</v>
      </c>
      <c r="C274" s="7" t="s">
        <v>18</v>
      </c>
      <c r="D274" s="7" t="s">
        <v>34</v>
      </c>
      <c r="E274" s="8" t="n">
        <v>23914.97</v>
      </c>
      <c r="F274" s="7" t="n">
        <v>8018</v>
      </c>
      <c r="G274" s="7" t="n">
        <v>0.139</v>
      </c>
      <c r="H274" s="7" t="n">
        <v>20</v>
      </c>
      <c r="I274" s="7" t="n">
        <v>89</v>
      </c>
      <c r="J274" s="9" t="n">
        <v>0.2</v>
      </c>
      <c r="K274" s="7" t="n">
        <v>0</v>
      </c>
      <c r="L274" s="9" t="n">
        <v>3.5</v>
      </c>
      <c r="M274" s="8" t="n">
        <v>739374.56</v>
      </c>
      <c r="N274" s="8" t="n">
        <v>121032.29</v>
      </c>
    </row>
    <row r="275" customFormat="false" ht="15" hidden="false" customHeight="false" outlineLevel="0" collapsed="false">
      <c r="A275" s="4" t="s">
        <v>95</v>
      </c>
      <c r="B275" s="4" t="s">
        <v>21</v>
      </c>
      <c r="C275" s="4" t="s">
        <v>18</v>
      </c>
      <c r="D275" s="4" t="s">
        <v>34</v>
      </c>
      <c r="E275" s="5" t="n">
        <v>61995.3</v>
      </c>
      <c r="F275" s="4" t="n">
        <v>10192</v>
      </c>
      <c r="G275" s="4" t="n">
        <v>0.198</v>
      </c>
      <c r="H275" s="4" t="n">
        <v>21</v>
      </c>
      <c r="I275" s="4" t="n">
        <v>87.6</v>
      </c>
      <c r="J275" s="6" t="n">
        <v>3.63</v>
      </c>
      <c r="K275" s="4" t="n">
        <v>1</v>
      </c>
      <c r="L275" s="6" t="n">
        <v>3.8</v>
      </c>
      <c r="M275" s="5" t="n">
        <v>799756.46</v>
      </c>
      <c r="N275" s="5" t="n">
        <v>105052.93</v>
      </c>
    </row>
    <row r="276" customFormat="false" ht="15" hidden="false" customHeight="false" outlineLevel="0" collapsed="false">
      <c r="A276" s="7" t="s">
        <v>95</v>
      </c>
      <c r="B276" s="7" t="s">
        <v>22</v>
      </c>
      <c r="C276" s="7" t="s">
        <v>18</v>
      </c>
      <c r="D276" s="7" t="s">
        <v>34</v>
      </c>
      <c r="E276" s="8" t="n">
        <v>29344.93</v>
      </c>
      <c r="F276" s="7" t="n">
        <v>7446</v>
      </c>
      <c r="G276" s="7" t="n">
        <v>0.111</v>
      </c>
      <c r="H276" s="7" t="n">
        <v>15</v>
      </c>
      <c r="I276" s="7" t="n">
        <v>86.2</v>
      </c>
      <c r="J276" s="9" t="n">
        <v>0.2</v>
      </c>
      <c r="K276" s="7" t="n">
        <v>0</v>
      </c>
      <c r="L276" s="9" t="n">
        <v>3.2</v>
      </c>
      <c r="M276" s="8" t="n">
        <v>593343</v>
      </c>
      <c r="N276" s="8" t="n">
        <v>82832.24</v>
      </c>
    </row>
    <row r="277" customFormat="false" ht="15" hidden="false" customHeight="false" outlineLevel="0" collapsed="false">
      <c r="A277" s="4" t="s">
        <v>96</v>
      </c>
      <c r="B277" s="4" t="s">
        <v>17</v>
      </c>
      <c r="C277" s="4" t="s">
        <v>33</v>
      </c>
      <c r="D277" s="4" t="s">
        <v>24</v>
      </c>
      <c r="E277" s="5" t="n">
        <v>50532.17</v>
      </c>
      <c r="F277" s="4" t="n">
        <v>5689</v>
      </c>
      <c r="G277" s="4" t="n">
        <v>0.052</v>
      </c>
      <c r="H277" s="4" t="n">
        <v>17</v>
      </c>
      <c r="I277" s="4" t="n">
        <v>85.6</v>
      </c>
      <c r="J277" s="6" t="n">
        <v>6.23</v>
      </c>
      <c r="K277" s="4" t="n">
        <v>0</v>
      </c>
      <c r="L277" s="6" t="n">
        <v>3.3</v>
      </c>
      <c r="M277" s="5" t="n">
        <v>645039.97</v>
      </c>
      <c r="N277" s="5" t="n">
        <v>83093.33</v>
      </c>
    </row>
    <row r="278" customFormat="false" ht="15" hidden="false" customHeight="false" outlineLevel="0" collapsed="false">
      <c r="A278" s="7" t="s">
        <v>96</v>
      </c>
      <c r="B278" s="7" t="s">
        <v>20</v>
      </c>
      <c r="C278" s="7" t="s">
        <v>33</v>
      </c>
      <c r="D278" s="7" t="s">
        <v>24</v>
      </c>
      <c r="E278" s="8" t="n">
        <v>17562.57</v>
      </c>
      <c r="F278" s="7" t="n">
        <v>3326</v>
      </c>
      <c r="G278" s="7" t="n">
        <v>0.153</v>
      </c>
      <c r="H278" s="7" t="n">
        <v>14</v>
      </c>
      <c r="I278" s="7" t="n">
        <v>88.1</v>
      </c>
      <c r="J278" s="9" t="n">
        <v>1.04</v>
      </c>
      <c r="K278" s="7" t="n">
        <v>0</v>
      </c>
      <c r="L278" s="9" t="n">
        <v>3.1</v>
      </c>
      <c r="M278" s="8" t="n">
        <v>561597.33</v>
      </c>
      <c r="N278" s="8" t="n">
        <v>75072.75</v>
      </c>
    </row>
    <row r="279" customFormat="false" ht="15" hidden="false" customHeight="false" outlineLevel="0" collapsed="false">
      <c r="A279" s="4" t="s">
        <v>96</v>
      </c>
      <c r="B279" s="4" t="s">
        <v>21</v>
      </c>
      <c r="C279" s="4" t="s">
        <v>33</v>
      </c>
      <c r="D279" s="4" t="s">
        <v>24</v>
      </c>
      <c r="E279" s="5" t="n">
        <v>47648.71</v>
      </c>
      <c r="F279" s="4" t="n">
        <v>5767</v>
      </c>
      <c r="G279" s="4" t="n">
        <v>0.141</v>
      </c>
      <c r="H279" s="4" t="n">
        <v>17</v>
      </c>
      <c r="I279" s="4" t="n">
        <v>89.8</v>
      </c>
      <c r="J279" s="6" t="n">
        <v>1.76</v>
      </c>
      <c r="K279" s="4" t="n">
        <v>0</v>
      </c>
      <c r="L279" s="6" t="n">
        <v>3.1</v>
      </c>
      <c r="M279" s="5" t="n">
        <v>635837.74</v>
      </c>
      <c r="N279" s="5" t="n">
        <v>114740.64</v>
      </c>
    </row>
    <row r="280" customFormat="false" ht="15" hidden="false" customHeight="false" outlineLevel="0" collapsed="false">
      <c r="A280" s="7" t="s">
        <v>96</v>
      </c>
      <c r="B280" s="7" t="s">
        <v>22</v>
      </c>
      <c r="C280" s="7" t="s">
        <v>33</v>
      </c>
      <c r="D280" s="7" t="s">
        <v>24</v>
      </c>
      <c r="E280" s="8" t="n">
        <v>38297.58</v>
      </c>
      <c r="F280" s="7" t="n">
        <v>5893</v>
      </c>
      <c r="G280" s="7" t="n">
        <v>0.247</v>
      </c>
      <c r="H280" s="7" t="n">
        <v>18</v>
      </c>
      <c r="I280" s="7" t="n">
        <v>77.6</v>
      </c>
      <c r="J280" s="9" t="n">
        <v>2.86</v>
      </c>
      <c r="K280" s="7" t="n">
        <v>0</v>
      </c>
      <c r="L280" s="9" t="n">
        <v>3</v>
      </c>
      <c r="M280" s="8" t="n">
        <v>686737.87</v>
      </c>
      <c r="N280" s="8" t="n">
        <v>83839.67</v>
      </c>
    </row>
    <row r="281" customFormat="false" ht="15" hidden="false" customHeight="false" outlineLevel="0" collapsed="false">
      <c r="A281" s="4" t="s">
        <v>97</v>
      </c>
      <c r="B281" s="4" t="s">
        <v>17</v>
      </c>
      <c r="C281" s="4" t="s">
        <v>30</v>
      </c>
      <c r="D281" s="4" t="s">
        <v>19</v>
      </c>
      <c r="E281" s="5" t="n">
        <v>61784.11</v>
      </c>
      <c r="F281" s="4" t="n">
        <v>8564</v>
      </c>
      <c r="G281" s="4" t="n">
        <v>0.13</v>
      </c>
      <c r="H281" s="4" t="n">
        <v>17</v>
      </c>
      <c r="I281" s="4" t="n">
        <v>87.4</v>
      </c>
      <c r="J281" s="6" t="n">
        <v>18.14</v>
      </c>
      <c r="K281" s="4" t="n">
        <v>1</v>
      </c>
      <c r="L281" s="6" t="n">
        <v>3.4</v>
      </c>
      <c r="M281" s="5" t="n">
        <v>673076.34</v>
      </c>
      <c r="N281" s="5" t="n">
        <v>93899.76</v>
      </c>
    </row>
    <row r="282" customFormat="false" ht="15" hidden="false" customHeight="false" outlineLevel="0" collapsed="false">
      <c r="A282" s="7" t="s">
        <v>97</v>
      </c>
      <c r="B282" s="7" t="s">
        <v>20</v>
      </c>
      <c r="C282" s="7" t="s">
        <v>30</v>
      </c>
      <c r="D282" s="7" t="s">
        <v>19</v>
      </c>
      <c r="E282" s="8" t="n">
        <v>36832.33</v>
      </c>
      <c r="F282" s="7" t="n">
        <v>8001</v>
      </c>
      <c r="G282" s="7" t="n">
        <v>0</v>
      </c>
      <c r="H282" s="7" t="n">
        <v>19</v>
      </c>
      <c r="I282" s="7" t="n">
        <v>88.7</v>
      </c>
      <c r="J282" s="9" t="n">
        <v>3.39</v>
      </c>
      <c r="K282" s="7" t="n">
        <v>0</v>
      </c>
      <c r="L282" s="9" t="n">
        <v>4</v>
      </c>
      <c r="M282" s="8" t="n">
        <v>738548.42</v>
      </c>
      <c r="N282" s="8" t="n">
        <v>134282.77</v>
      </c>
    </row>
    <row r="283" customFormat="false" ht="15" hidden="false" customHeight="false" outlineLevel="0" collapsed="false">
      <c r="A283" s="4" t="s">
        <v>97</v>
      </c>
      <c r="B283" s="4" t="s">
        <v>21</v>
      </c>
      <c r="C283" s="4" t="s">
        <v>30</v>
      </c>
      <c r="D283" s="4" t="s">
        <v>19</v>
      </c>
      <c r="E283" s="5" t="n">
        <v>48609.41</v>
      </c>
      <c r="F283" s="4" t="n">
        <v>9324</v>
      </c>
      <c r="G283" s="4" t="n">
        <v>0.213</v>
      </c>
      <c r="H283" s="4" t="n">
        <v>18</v>
      </c>
      <c r="I283" s="4" t="n">
        <v>86.5</v>
      </c>
      <c r="J283" s="6" t="n">
        <v>1.44</v>
      </c>
      <c r="K283" s="4" t="n">
        <v>0</v>
      </c>
      <c r="L283" s="6" t="n">
        <v>3.9</v>
      </c>
      <c r="M283" s="5" t="n">
        <v>756619.77</v>
      </c>
      <c r="N283" s="5" t="n">
        <v>112057.69</v>
      </c>
    </row>
    <row r="284" customFormat="false" ht="15" hidden="false" customHeight="false" outlineLevel="0" collapsed="false">
      <c r="A284" s="7" t="s">
        <v>97</v>
      </c>
      <c r="B284" s="7" t="s">
        <v>22</v>
      </c>
      <c r="C284" s="7" t="s">
        <v>30</v>
      </c>
      <c r="D284" s="7" t="s">
        <v>19</v>
      </c>
      <c r="E284" s="8" t="n">
        <v>70284.06</v>
      </c>
      <c r="F284" s="7" t="n">
        <v>9109</v>
      </c>
      <c r="G284" s="7" t="n">
        <v>0.004</v>
      </c>
      <c r="H284" s="7" t="n">
        <v>23</v>
      </c>
      <c r="I284" s="7" t="n">
        <v>87</v>
      </c>
      <c r="J284" s="9" t="n">
        <v>3.65</v>
      </c>
      <c r="K284" s="7" t="n">
        <v>0</v>
      </c>
      <c r="L284" s="9" t="n">
        <v>3.7</v>
      </c>
      <c r="M284" s="8" t="n">
        <v>761122.42</v>
      </c>
      <c r="N284" s="8" t="n">
        <v>149802.04</v>
      </c>
    </row>
    <row r="285" customFormat="false" ht="15" hidden="false" customHeight="false" outlineLevel="0" collapsed="false">
      <c r="A285" s="4" t="s">
        <v>98</v>
      </c>
      <c r="B285" s="4" t="s">
        <v>17</v>
      </c>
      <c r="C285" s="4" t="s">
        <v>30</v>
      </c>
      <c r="D285" s="4" t="s">
        <v>24</v>
      </c>
      <c r="E285" s="5" t="n">
        <v>45940.39</v>
      </c>
      <c r="F285" s="4" t="n">
        <v>4022</v>
      </c>
      <c r="G285" s="4" t="n">
        <v>0.069</v>
      </c>
      <c r="H285" s="4" t="n">
        <v>10</v>
      </c>
      <c r="I285" s="4" t="n">
        <v>83</v>
      </c>
      <c r="J285" s="6" t="n">
        <v>1.23</v>
      </c>
      <c r="K285" s="4" t="n">
        <v>1</v>
      </c>
      <c r="L285" s="6" t="n">
        <v>3.8</v>
      </c>
      <c r="M285" s="5" t="n">
        <v>524899.57</v>
      </c>
      <c r="N285" s="5" t="n">
        <v>63619.98</v>
      </c>
    </row>
    <row r="286" customFormat="false" ht="15" hidden="false" customHeight="false" outlineLevel="0" collapsed="false">
      <c r="A286" s="7" t="s">
        <v>98</v>
      </c>
      <c r="B286" s="7" t="s">
        <v>20</v>
      </c>
      <c r="C286" s="7" t="s">
        <v>30</v>
      </c>
      <c r="D286" s="7" t="s">
        <v>24</v>
      </c>
      <c r="E286" s="8" t="n">
        <v>34771.26</v>
      </c>
      <c r="F286" s="7" t="n">
        <v>4355</v>
      </c>
      <c r="G286" s="7" t="n">
        <v>0.051</v>
      </c>
      <c r="H286" s="7" t="n">
        <v>15</v>
      </c>
      <c r="I286" s="7" t="n">
        <v>87.9</v>
      </c>
      <c r="J286" s="9" t="n">
        <v>3.09</v>
      </c>
      <c r="K286" s="7" t="n">
        <v>0</v>
      </c>
      <c r="L286" s="9" t="n">
        <v>4</v>
      </c>
      <c r="M286" s="8" t="n">
        <v>555557.77</v>
      </c>
      <c r="N286" s="8" t="n">
        <v>86475.51</v>
      </c>
    </row>
    <row r="287" customFormat="false" ht="15" hidden="false" customHeight="false" outlineLevel="0" collapsed="false">
      <c r="A287" s="4" t="s">
        <v>98</v>
      </c>
      <c r="B287" s="4" t="s">
        <v>21</v>
      </c>
      <c r="C287" s="4" t="s">
        <v>30</v>
      </c>
      <c r="D287" s="4" t="s">
        <v>24</v>
      </c>
      <c r="E287" s="5" t="n">
        <v>66104.19</v>
      </c>
      <c r="F287" s="4" t="n">
        <v>5745</v>
      </c>
      <c r="G287" s="4" t="n">
        <v>0.07</v>
      </c>
      <c r="H287" s="4" t="n">
        <v>17</v>
      </c>
      <c r="I287" s="4" t="n">
        <v>95.8</v>
      </c>
      <c r="J287" s="6" t="n">
        <v>3.15</v>
      </c>
      <c r="K287" s="4" t="n">
        <v>0</v>
      </c>
      <c r="L287" s="6" t="n">
        <v>4</v>
      </c>
      <c r="M287" s="5" t="n">
        <v>714083.68</v>
      </c>
      <c r="N287" s="5" t="n">
        <v>127231.74</v>
      </c>
    </row>
    <row r="288" customFormat="false" ht="15" hidden="false" customHeight="false" outlineLevel="0" collapsed="false">
      <c r="A288" s="7" t="s">
        <v>98</v>
      </c>
      <c r="B288" s="7" t="s">
        <v>22</v>
      </c>
      <c r="C288" s="7" t="s">
        <v>30</v>
      </c>
      <c r="D288" s="7" t="s">
        <v>24</v>
      </c>
      <c r="E288" s="8" t="n">
        <v>18599.21</v>
      </c>
      <c r="F288" s="7" t="n">
        <v>3027</v>
      </c>
      <c r="G288" s="7" t="n">
        <v>0.122</v>
      </c>
      <c r="H288" s="7" t="n">
        <v>11</v>
      </c>
      <c r="I288" s="7" t="n">
        <v>80.9</v>
      </c>
      <c r="J288" s="9" t="n">
        <v>6.44</v>
      </c>
      <c r="K288" s="7" t="n">
        <v>0</v>
      </c>
      <c r="L288" s="9" t="n">
        <v>4.2</v>
      </c>
      <c r="M288" s="8" t="n">
        <v>497439.82</v>
      </c>
      <c r="N288" s="8" t="n">
        <v>93372.75</v>
      </c>
    </row>
    <row r="289" customFormat="false" ht="15" hidden="false" customHeight="false" outlineLevel="0" collapsed="false">
      <c r="A289" s="4" t="s">
        <v>99</v>
      </c>
      <c r="B289" s="4" t="s">
        <v>17</v>
      </c>
      <c r="C289" s="4" t="s">
        <v>33</v>
      </c>
      <c r="D289" s="4" t="s">
        <v>19</v>
      </c>
      <c r="E289" s="5" t="n">
        <v>60183.06</v>
      </c>
      <c r="F289" s="4" t="n">
        <v>5562</v>
      </c>
      <c r="G289" s="4" t="n">
        <v>0.009</v>
      </c>
      <c r="H289" s="4" t="n">
        <v>13</v>
      </c>
      <c r="I289" s="4" t="n">
        <v>86.3</v>
      </c>
      <c r="J289" s="6" t="n">
        <v>0.2</v>
      </c>
      <c r="K289" s="4" t="n">
        <v>1</v>
      </c>
      <c r="L289" s="6" t="n">
        <v>4.5</v>
      </c>
      <c r="M289" s="5" t="n">
        <v>636775.66</v>
      </c>
      <c r="N289" s="5" t="n">
        <v>122636.86</v>
      </c>
    </row>
    <row r="290" customFormat="false" ht="15" hidden="false" customHeight="false" outlineLevel="0" collapsed="false">
      <c r="A290" s="7" t="s">
        <v>99</v>
      </c>
      <c r="B290" s="7" t="s">
        <v>20</v>
      </c>
      <c r="C290" s="7" t="s">
        <v>33</v>
      </c>
      <c r="D290" s="7" t="s">
        <v>19</v>
      </c>
      <c r="E290" s="8" t="n">
        <v>74539.14</v>
      </c>
      <c r="F290" s="7" t="n">
        <v>4487</v>
      </c>
      <c r="G290" s="7" t="n">
        <v>0.14</v>
      </c>
      <c r="H290" s="7" t="n">
        <v>10</v>
      </c>
      <c r="I290" s="7" t="n">
        <v>90.4</v>
      </c>
      <c r="J290" s="9" t="n">
        <v>0.59</v>
      </c>
      <c r="K290" s="7" t="n">
        <v>0</v>
      </c>
      <c r="L290" s="9" t="n">
        <v>4.5</v>
      </c>
      <c r="M290" s="8" t="n">
        <v>633009.53</v>
      </c>
      <c r="N290" s="8" t="n">
        <v>123782.67</v>
      </c>
    </row>
    <row r="291" customFormat="false" ht="15" hidden="false" customHeight="false" outlineLevel="0" collapsed="false">
      <c r="A291" s="4" t="s">
        <v>99</v>
      </c>
      <c r="B291" s="4" t="s">
        <v>21</v>
      </c>
      <c r="C291" s="4" t="s">
        <v>33</v>
      </c>
      <c r="D291" s="4" t="s">
        <v>19</v>
      </c>
      <c r="E291" s="5" t="n">
        <v>55371.97</v>
      </c>
      <c r="F291" s="4" t="n">
        <v>4162</v>
      </c>
      <c r="G291" s="4" t="n">
        <v>0.183</v>
      </c>
      <c r="H291" s="4" t="n">
        <v>11</v>
      </c>
      <c r="I291" s="4" t="n">
        <v>92</v>
      </c>
      <c r="J291" s="6" t="n">
        <v>0.2</v>
      </c>
      <c r="K291" s="4" t="n">
        <v>1</v>
      </c>
      <c r="L291" s="6" t="n">
        <v>4.2</v>
      </c>
      <c r="M291" s="5" t="n">
        <v>609949</v>
      </c>
      <c r="N291" s="5" t="n">
        <v>126789.25</v>
      </c>
    </row>
    <row r="292" customFormat="false" ht="15" hidden="false" customHeight="false" outlineLevel="0" collapsed="false">
      <c r="A292" s="7" t="s">
        <v>99</v>
      </c>
      <c r="B292" s="7" t="s">
        <v>22</v>
      </c>
      <c r="C292" s="7" t="s">
        <v>33</v>
      </c>
      <c r="D292" s="7" t="s">
        <v>19</v>
      </c>
      <c r="E292" s="8" t="n">
        <v>40928.69</v>
      </c>
      <c r="F292" s="7" t="n">
        <v>4094</v>
      </c>
      <c r="G292" s="7" t="n">
        <v>0.174</v>
      </c>
      <c r="H292" s="7" t="n">
        <v>13</v>
      </c>
      <c r="I292" s="7" t="n">
        <v>82.4</v>
      </c>
      <c r="J292" s="9" t="n">
        <v>1.36</v>
      </c>
      <c r="K292" s="7" t="n">
        <v>0</v>
      </c>
      <c r="L292" s="9" t="n">
        <v>4.8</v>
      </c>
      <c r="M292" s="8" t="n">
        <v>548103.7</v>
      </c>
      <c r="N292" s="8" t="n">
        <v>99905.52</v>
      </c>
    </row>
    <row r="293" customFormat="false" ht="15" hidden="false" customHeight="false" outlineLevel="0" collapsed="false">
      <c r="A293" s="4" t="s">
        <v>100</v>
      </c>
      <c r="B293" s="4" t="s">
        <v>17</v>
      </c>
      <c r="C293" s="4" t="s">
        <v>18</v>
      </c>
      <c r="D293" s="4" t="s">
        <v>19</v>
      </c>
      <c r="E293" s="5" t="n">
        <v>70012.41</v>
      </c>
      <c r="F293" s="4" t="n">
        <v>8484</v>
      </c>
      <c r="G293" s="4" t="n">
        <v>0.273</v>
      </c>
      <c r="H293" s="4" t="n">
        <v>23</v>
      </c>
      <c r="I293" s="4" t="n">
        <v>72.9</v>
      </c>
      <c r="J293" s="6" t="n">
        <v>3.34</v>
      </c>
      <c r="K293" s="4" t="n">
        <v>0</v>
      </c>
      <c r="L293" s="6" t="n">
        <v>3.7</v>
      </c>
      <c r="M293" s="5" t="n">
        <v>729424.42</v>
      </c>
      <c r="N293" s="5" t="n">
        <v>75592.28</v>
      </c>
    </row>
    <row r="294" customFormat="false" ht="15" hidden="false" customHeight="false" outlineLevel="0" collapsed="false">
      <c r="A294" s="7" t="s">
        <v>100</v>
      </c>
      <c r="B294" s="7" t="s">
        <v>20</v>
      </c>
      <c r="C294" s="7" t="s">
        <v>18</v>
      </c>
      <c r="D294" s="7" t="s">
        <v>19</v>
      </c>
      <c r="E294" s="8" t="n">
        <v>68909.26</v>
      </c>
      <c r="F294" s="7" t="n">
        <v>7794</v>
      </c>
      <c r="G294" s="7" t="n">
        <v>0.284</v>
      </c>
      <c r="H294" s="7" t="n">
        <v>22</v>
      </c>
      <c r="I294" s="7" t="n">
        <v>89</v>
      </c>
      <c r="J294" s="9" t="n">
        <v>0.33</v>
      </c>
      <c r="K294" s="7" t="n">
        <v>0</v>
      </c>
      <c r="L294" s="9" t="n">
        <v>4</v>
      </c>
      <c r="M294" s="8" t="n">
        <v>696261.49</v>
      </c>
      <c r="N294" s="8" t="n">
        <v>72455.35</v>
      </c>
    </row>
    <row r="295" customFormat="false" ht="15" hidden="false" customHeight="false" outlineLevel="0" collapsed="false">
      <c r="A295" s="4" t="s">
        <v>100</v>
      </c>
      <c r="B295" s="4" t="s">
        <v>21</v>
      </c>
      <c r="C295" s="4" t="s">
        <v>18</v>
      </c>
      <c r="D295" s="4" t="s">
        <v>19</v>
      </c>
      <c r="E295" s="5" t="n">
        <v>56737.3</v>
      </c>
      <c r="F295" s="4" t="n">
        <v>8300</v>
      </c>
      <c r="G295" s="4" t="n">
        <v>0.032</v>
      </c>
      <c r="H295" s="4" t="n">
        <v>21</v>
      </c>
      <c r="I295" s="4" t="n">
        <v>83.2</v>
      </c>
      <c r="J295" s="6" t="n">
        <v>3.44</v>
      </c>
      <c r="K295" s="4" t="n">
        <v>1</v>
      </c>
      <c r="L295" s="6" t="n">
        <v>4.3</v>
      </c>
      <c r="M295" s="5" t="n">
        <v>813316.71</v>
      </c>
      <c r="N295" s="5" t="n">
        <v>110077.42</v>
      </c>
    </row>
    <row r="296" customFormat="false" ht="15" hidden="false" customHeight="false" outlineLevel="0" collapsed="false">
      <c r="A296" s="7" t="s">
        <v>100</v>
      </c>
      <c r="B296" s="7" t="s">
        <v>22</v>
      </c>
      <c r="C296" s="7" t="s">
        <v>18</v>
      </c>
      <c r="D296" s="7" t="s">
        <v>19</v>
      </c>
      <c r="E296" s="8" t="n">
        <v>54080.91</v>
      </c>
      <c r="F296" s="7" t="n">
        <v>7083</v>
      </c>
      <c r="G296" s="7" t="n">
        <v>0</v>
      </c>
      <c r="H296" s="7" t="n">
        <v>15</v>
      </c>
      <c r="I296" s="7" t="n">
        <v>97</v>
      </c>
      <c r="J296" s="9" t="n">
        <v>5.33</v>
      </c>
      <c r="K296" s="7" t="n">
        <v>0</v>
      </c>
      <c r="L296" s="9" t="n">
        <v>4.1</v>
      </c>
      <c r="M296" s="8" t="n">
        <v>702068.92</v>
      </c>
      <c r="N296" s="8" t="n">
        <v>111266.63</v>
      </c>
    </row>
    <row r="297" customFormat="false" ht="15" hidden="false" customHeight="false" outlineLevel="0" collapsed="false">
      <c r="A297" s="4" t="s">
        <v>101</v>
      </c>
      <c r="B297" s="4" t="s">
        <v>17</v>
      </c>
      <c r="C297" s="4" t="s">
        <v>33</v>
      </c>
      <c r="D297" s="4" t="s">
        <v>24</v>
      </c>
      <c r="E297" s="5" t="n">
        <v>51996.32</v>
      </c>
      <c r="F297" s="4" t="n">
        <v>3834</v>
      </c>
      <c r="G297" s="4" t="n">
        <v>0.096</v>
      </c>
      <c r="H297" s="4" t="n">
        <v>8</v>
      </c>
      <c r="I297" s="4" t="n">
        <v>86.7</v>
      </c>
      <c r="J297" s="6" t="n">
        <v>6.04</v>
      </c>
      <c r="K297" s="4" t="n">
        <v>0</v>
      </c>
      <c r="L297" s="6" t="n">
        <v>4.5</v>
      </c>
      <c r="M297" s="5" t="n">
        <v>546223.7</v>
      </c>
      <c r="N297" s="5" t="n">
        <v>100769.17</v>
      </c>
    </row>
    <row r="298" customFormat="false" ht="15" hidden="false" customHeight="false" outlineLevel="0" collapsed="false">
      <c r="A298" s="7" t="s">
        <v>101</v>
      </c>
      <c r="B298" s="7" t="s">
        <v>20</v>
      </c>
      <c r="C298" s="7" t="s">
        <v>33</v>
      </c>
      <c r="D298" s="7" t="s">
        <v>24</v>
      </c>
      <c r="E298" s="8" t="n">
        <v>40102.88</v>
      </c>
      <c r="F298" s="7" t="n">
        <v>2358</v>
      </c>
      <c r="G298" s="7" t="n">
        <v>0.119</v>
      </c>
      <c r="H298" s="7" t="n">
        <v>9</v>
      </c>
      <c r="I298" s="7" t="n">
        <v>88.7</v>
      </c>
      <c r="J298" s="9" t="n">
        <v>1.6</v>
      </c>
      <c r="K298" s="7" t="n">
        <v>0</v>
      </c>
      <c r="L298" s="9" t="n">
        <v>4.2</v>
      </c>
      <c r="M298" s="8" t="n">
        <v>533121.26</v>
      </c>
      <c r="N298" s="8" t="n">
        <v>55063.39</v>
      </c>
    </row>
    <row r="299" customFormat="false" ht="15" hidden="false" customHeight="false" outlineLevel="0" collapsed="false">
      <c r="A299" s="4" t="s">
        <v>101</v>
      </c>
      <c r="B299" s="4" t="s">
        <v>21</v>
      </c>
      <c r="C299" s="4" t="s">
        <v>33</v>
      </c>
      <c r="D299" s="4" t="s">
        <v>24</v>
      </c>
      <c r="E299" s="5" t="n">
        <v>59825.51</v>
      </c>
      <c r="F299" s="4" t="n">
        <v>1231</v>
      </c>
      <c r="G299" s="4" t="n">
        <v>0.214</v>
      </c>
      <c r="H299" s="4" t="n">
        <v>10</v>
      </c>
      <c r="I299" s="4" t="n">
        <v>84.8</v>
      </c>
      <c r="J299" s="6" t="n">
        <v>8.96</v>
      </c>
      <c r="K299" s="4" t="n">
        <v>0</v>
      </c>
      <c r="L299" s="6" t="n">
        <v>4.7</v>
      </c>
      <c r="M299" s="5" t="n">
        <v>498970.32</v>
      </c>
      <c r="N299" s="5" t="n">
        <v>69656.7</v>
      </c>
    </row>
    <row r="300" customFormat="false" ht="15" hidden="false" customHeight="false" outlineLevel="0" collapsed="false">
      <c r="A300" s="7" t="s">
        <v>101</v>
      </c>
      <c r="B300" s="7" t="s">
        <v>22</v>
      </c>
      <c r="C300" s="7" t="s">
        <v>33</v>
      </c>
      <c r="D300" s="7" t="s">
        <v>24</v>
      </c>
      <c r="E300" s="8" t="n">
        <v>27398.28</v>
      </c>
      <c r="F300" s="7" t="n">
        <v>1723</v>
      </c>
      <c r="G300" s="7" t="n">
        <v>0.171</v>
      </c>
      <c r="H300" s="7" t="n">
        <v>9</v>
      </c>
      <c r="I300" s="7" t="n">
        <v>81</v>
      </c>
      <c r="J300" s="9" t="n">
        <v>0.74</v>
      </c>
      <c r="K300" s="7" t="n">
        <v>0</v>
      </c>
      <c r="L300" s="9" t="n">
        <v>4.6</v>
      </c>
      <c r="M300" s="8" t="n">
        <v>487738.26</v>
      </c>
      <c r="N300" s="8" t="n">
        <v>96435.6</v>
      </c>
    </row>
    <row r="301" customFormat="false" ht="15" hidden="false" customHeight="false" outlineLevel="0" collapsed="false">
      <c r="A301" s="4" t="s">
        <v>102</v>
      </c>
      <c r="B301" s="4" t="s">
        <v>17</v>
      </c>
      <c r="C301" s="4" t="s">
        <v>33</v>
      </c>
      <c r="D301" s="4" t="s">
        <v>24</v>
      </c>
      <c r="E301" s="5" t="n">
        <v>55599.56</v>
      </c>
      <c r="F301" s="4" t="n">
        <v>5896</v>
      </c>
      <c r="G301" s="4" t="n">
        <v>0.036</v>
      </c>
      <c r="H301" s="4" t="n">
        <v>12</v>
      </c>
      <c r="I301" s="4" t="n">
        <v>93.1</v>
      </c>
      <c r="J301" s="6" t="n">
        <v>6.13</v>
      </c>
      <c r="K301" s="4" t="n">
        <v>0</v>
      </c>
      <c r="L301" s="6" t="n">
        <v>3.3</v>
      </c>
      <c r="M301" s="5" t="n">
        <v>668459.37</v>
      </c>
      <c r="N301" s="5" t="n">
        <v>126435.42</v>
      </c>
    </row>
    <row r="302" customFormat="false" ht="15" hidden="false" customHeight="false" outlineLevel="0" collapsed="false">
      <c r="A302" s="7" t="s">
        <v>102</v>
      </c>
      <c r="B302" s="7" t="s">
        <v>20</v>
      </c>
      <c r="C302" s="7" t="s">
        <v>33</v>
      </c>
      <c r="D302" s="7" t="s">
        <v>24</v>
      </c>
      <c r="E302" s="8" t="n">
        <v>55477.61</v>
      </c>
      <c r="F302" s="7" t="n">
        <v>5903</v>
      </c>
      <c r="G302" s="7" t="n">
        <v>0.102</v>
      </c>
      <c r="H302" s="7" t="n">
        <v>14</v>
      </c>
      <c r="I302" s="7" t="n">
        <v>96.2</v>
      </c>
      <c r="J302" s="9" t="n">
        <v>1.41</v>
      </c>
      <c r="K302" s="7" t="n">
        <v>0</v>
      </c>
      <c r="L302" s="9" t="n">
        <v>3.3</v>
      </c>
      <c r="M302" s="8" t="n">
        <v>763162.45</v>
      </c>
      <c r="N302" s="8" t="n">
        <v>162524.05</v>
      </c>
    </row>
    <row r="303" customFormat="false" ht="15" hidden="false" customHeight="false" outlineLevel="0" collapsed="false">
      <c r="A303" s="4" t="s">
        <v>102</v>
      </c>
      <c r="B303" s="4" t="s">
        <v>21</v>
      </c>
      <c r="C303" s="4" t="s">
        <v>33</v>
      </c>
      <c r="D303" s="4" t="s">
        <v>24</v>
      </c>
      <c r="E303" s="5" t="n">
        <v>46174.7</v>
      </c>
      <c r="F303" s="4" t="n">
        <v>4898</v>
      </c>
      <c r="G303" s="4" t="n">
        <v>0.114</v>
      </c>
      <c r="H303" s="4" t="n">
        <v>11</v>
      </c>
      <c r="I303" s="4" t="n">
        <v>91.7</v>
      </c>
      <c r="J303" s="6" t="n">
        <v>3.75</v>
      </c>
      <c r="K303" s="4" t="n">
        <v>0</v>
      </c>
      <c r="L303" s="6" t="n">
        <v>3.1</v>
      </c>
      <c r="M303" s="5" t="n">
        <v>599017.33</v>
      </c>
      <c r="N303" s="5" t="n">
        <v>134009.92</v>
      </c>
    </row>
    <row r="304" customFormat="false" ht="15" hidden="false" customHeight="false" outlineLevel="0" collapsed="false">
      <c r="A304" s="7" t="s">
        <v>102</v>
      </c>
      <c r="B304" s="7" t="s">
        <v>22</v>
      </c>
      <c r="C304" s="7" t="s">
        <v>33</v>
      </c>
      <c r="D304" s="7" t="s">
        <v>24</v>
      </c>
      <c r="E304" s="8" t="n">
        <v>24362.98</v>
      </c>
      <c r="F304" s="7" t="n">
        <v>1462</v>
      </c>
      <c r="G304" s="7" t="n">
        <v>0.117</v>
      </c>
      <c r="H304" s="7" t="n">
        <v>6</v>
      </c>
      <c r="I304" s="7" t="n">
        <v>89.3</v>
      </c>
      <c r="J304" s="9" t="n">
        <v>15.06</v>
      </c>
      <c r="K304" s="7" t="n">
        <v>0</v>
      </c>
      <c r="L304" s="9" t="n">
        <v>3.2</v>
      </c>
      <c r="M304" s="8" t="n">
        <v>401582.58</v>
      </c>
      <c r="N304" s="8" t="n">
        <v>68454.93</v>
      </c>
    </row>
    <row r="305" customFormat="false" ht="15" hidden="false" customHeight="false" outlineLevel="0" collapsed="false">
      <c r="A305" s="4" t="s">
        <v>103</v>
      </c>
      <c r="B305" s="4" t="s">
        <v>17</v>
      </c>
      <c r="C305" s="4" t="s">
        <v>26</v>
      </c>
      <c r="D305" s="4" t="s">
        <v>34</v>
      </c>
      <c r="E305" s="5" t="n">
        <v>40647.67</v>
      </c>
      <c r="F305" s="4" t="n">
        <v>8252</v>
      </c>
      <c r="G305" s="4" t="n">
        <v>0.141</v>
      </c>
      <c r="H305" s="4" t="n">
        <v>22</v>
      </c>
      <c r="I305" s="4" t="n">
        <v>88.2</v>
      </c>
      <c r="J305" s="6" t="n">
        <v>5.07</v>
      </c>
      <c r="K305" s="4" t="n">
        <v>1</v>
      </c>
      <c r="L305" s="6" t="n">
        <v>4.1</v>
      </c>
      <c r="M305" s="5" t="n">
        <v>703812.99</v>
      </c>
      <c r="N305" s="5" t="n">
        <v>133577.98</v>
      </c>
    </row>
    <row r="306" customFormat="false" ht="15" hidden="false" customHeight="false" outlineLevel="0" collapsed="false">
      <c r="A306" s="7" t="s">
        <v>103</v>
      </c>
      <c r="B306" s="7" t="s">
        <v>20</v>
      </c>
      <c r="C306" s="7" t="s">
        <v>26</v>
      </c>
      <c r="D306" s="7" t="s">
        <v>34</v>
      </c>
      <c r="E306" s="8" t="n">
        <v>63986.98</v>
      </c>
      <c r="F306" s="7" t="n">
        <v>7989</v>
      </c>
      <c r="G306" s="7" t="n">
        <v>0.074</v>
      </c>
      <c r="H306" s="7" t="n">
        <v>20</v>
      </c>
      <c r="I306" s="7" t="n">
        <v>83.3</v>
      </c>
      <c r="J306" s="9" t="n">
        <v>3.6</v>
      </c>
      <c r="K306" s="7" t="n">
        <v>0</v>
      </c>
      <c r="L306" s="9" t="n">
        <v>3.7</v>
      </c>
      <c r="M306" s="8" t="n">
        <v>724346.73</v>
      </c>
      <c r="N306" s="8" t="n">
        <v>155013.91</v>
      </c>
    </row>
    <row r="307" customFormat="false" ht="15" hidden="false" customHeight="false" outlineLevel="0" collapsed="false">
      <c r="A307" s="4" t="s">
        <v>103</v>
      </c>
      <c r="B307" s="4" t="s">
        <v>21</v>
      </c>
      <c r="C307" s="4" t="s">
        <v>26</v>
      </c>
      <c r="D307" s="4" t="s">
        <v>34</v>
      </c>
      <c r="E307" s="5" t="n">
        <v>52843.75</v>
      </c>
      <c r="F307" s="4" t="n">
        <v>8268</v>
      </c>
      <c r="G307" s="4" t="n">
        <v>0.138</v>
      </c>
      <c r="H307" s="4" t="n">
        <v>19</v>
      </c>
      <c r="I307" s="4" t="n">
        <v>87.3</v>
      </c>
      <c r="J307" s="6" t="n">
        <v>4.39</v>
      </c>
      <c r="K307" s="4" t="n">
        <v>1</v>
      </c>
      <c r="L307" s="6" t="n">
        <v>4.7</v>
      </c>
      <c r="M307" s="5" t="n">
        <v>730890.01</v>
      </c>
      <c r="N307" s="5" t="n">
        <v>105502.56</v>
      </c>
    </row>
    <row r="308" customFormat="false" ht="15" hidden="false" customHeight="false" outlineLevel="0" collapsed="false">
      <c r="A308" s="7" t="s">
        <v>103</v>
      </c>
      <c r="B308" s="7" t="s">
        <v>22</v>
      </c>
      <c r="C308" s="7" t="s">
        <v>26</v>
      </c>
      <c r="D308" s="7" t="s">
        <v>34</v>
      </c>
      <c r="E308" s="8" t="n">
        <v>31997.25</v>
      </c>
      <c r="F308" s="7" t="n">
        <v>8183</v>
      </c>
      <c r="G308" s="7" t="n">
        <v>0.198</v>
      </c>
      <c r="H308" s="7" t="n">
        <v>18</v>
      </c>
      <c r="I308" s="7" t="n">
        <v>93</v>
      </c>
      <c r="J308" s="9" t="n">
        <v>2.79</v>
      </c>
      <c r="K308" s="7" t="n">
        <v>0</v>
      </c>
      <c r="L308" s="9" t="n">
        <v>4.2</v>
      </c>
      <c r="M308" s="8" t="n">
        <v>780580.95</v>
      </c>
      <c r="N308" s="8" t="n">
        <v>138144.46</v>
      </c>
    </row>
    <row r="309" customFormat="false" ht="15" hidden="false" customHeight="false" outlineLevel="0" collapsed="false">
      <c r="A309" s="4" t="s">
        <v>104</v>
      </c>
      <c r="B309" s="4" t="s">
        <v>17</v>
      </c>
      <c r="C309" s="4" t="s">
        <v>30</v>
      </c>
      <c r="D309" s="4" t="s">
        <v>19</v>
      </c>
      <c r="E309" s="5" t="n">
        <v>54948.02</v>
      </c>
      <c r="F309" s="4" t="n">
        <v>6534</v>
      </c>
      <c r="G309" s="4" t="n">
        <v>0.183</v>
      </c>
      <c r="H309" s="4" t="n">
        <v>14</v>
      </c>
      <c r="I309" s="4" t="n">
        <v>94.5</v>
      </c>
      <c r="J309" s="6" t="n">
        <v>1.56</v>
      </c>
      <c r="K309" s="4" t="n">
        <v>0</v>
      </c>
      <c r="L309" s="6" t="n">
        <v>4</v>
      </c>
      <c r="M309" s="5" t="n">
        <v>727957.48</v>
      </c>
      <c r="N309" s="5" t="n">
        <v>74805.23</v>
      </c>
    </row>
    <row r="310" customFormat="false" ht="15" hidden="false" customHeight="false" outlineLevel="0" collapsed="false">
      <c r="A310" s="7" t="s">
        <v>104</v>
      </c>
      <c r="B310" s="7" t="s">
        <v>20</v>
      </c>
      <c r="C310" s="7" t="s">
        <v>30</v>
      </c>
      <c r="D310" s="7" t="s">
        <v>19</v>
      </c>
      <c r="E310" s="8" t="n">
        <v>46146.24</v>
      </c>
      <c r="F310" s="7" t="n">
        <v>5804</v>
      </c>
      <c r="G310" s="7" t="n">
        <v>0.047</v>
      </c>
      <c r="H310" s="7" t="n">
        <v>16</v>
      </c>
      <c r="I310" s="7" t="n">
        <v>86.9</v>
      </c>
      <c r="J310" s="9" t="n">
        <v>15.82</v>
      </c>
      <c r="K310" s="7" t="n">
        <v>0</v>
      </c>
      <c r="L310" s="9" t="n">
        <v>3.8</v>
      </c>
      <c r="M310" s="8" t="n">
        <v>538376</v>
      </c>
      <c r="N310" s="8" t="n">
        <v>87605.62</v>
      </c>
    </row>
    <row r="311" customFormat="false" ht="15" hidden="false" customHeight="false" outlineLevel="0" collapsed="false">
      <c r="A311" s="4" t="s">
        <v>104</v>
      </c>
      <c r="B311" s="4" t="s">
        <v>21</v>
      </c>
      <c r="C311" s="4" t="s">
        <v>30</v>
      </c>
      <c r="D311" s="4" t="s">
        <v>19</v>
      </c>
      <c r="E311" s="5" t="n">
        <v>22387.26</v>
      </c>
      <c r="F311" s="4" t="n">
        <v>6301</v>
      </c>
      <c r="G311" s="4" t="n">
        <v>0.146</v>
      </c>
      <c r="H311" s="4" t="n">
        <v>14</v>
      </c>
      <c r="I311" s="4" t="n">
        <v>85.9</v>
      </c>
      <c r="J311" s="6" t="n">
        <v>1.17</v>
      </c>
      <c r="K311" s="4" t="n">
        <v>1</v>
      </c>
      <c r="L311" s="6" t="n">
        <v>3.7</v>
      </c>
      <c r="M311" s="5" t="n">
        <v>665342.49</v>
      </c>
      <c r="N311" s="5" t="n">
        <v>93441.81</v>
      </c>
    </row>
    <row r="312" customFormat="false" ht="15" hidden="false" customHeight="false" outlineLevel="0" collapsed="false">
      <c r="A312" s="7" t="s">
        <v>104</v>
      </c>
      <c r="B312" s="7" t="s">
        <v>22</v>
      </c>
      <c r="C312" s="7" t="s">
        <v>30</v>
      </c>
      <c r="D312" s="7" t="s">
        <v>19</v>
      </c>
      <c r="E312" s="8" t="n">
        <v>60684.05</v>
      </c>
      <c r="F312" s="7" t="n">
        <v>6399</v>
      </c>
      <c r="G312" s="7" t="n">
        <v>0.075</v>
      </c>
      <c r="H312" s="7" t="n">
        <v>16</v>
      </c>
      <c r="I312" s="7" t="n">
        <v>99</v>
      </c>
      <c r="J312" s="9" t="n">
        <v>3.82</v>
      </c>
      <c r="K312" s="7" t="n">
        <v>0</v>
      </c>
      <c r="L312" s="9" t="n">
        <v>3.5</v>
      </c>
      <c r="M312" s="8" t="n">
        <v>651164.18</v>
      </c>
      <c r="N312" s="8" t="n">
        <v>109466.5</v>
      </c>
    </row>
    <row r="313" customFormat="false" ht="15" hidden="false" customHeight="false" outlineLevel="0" collapsed="false">
      <c r="A313" s="4" t="s">
        <v>105</v>
      </c>
      <c r="B313" s="4" t="s">
        <v>17</v>
      </c>
      <c r="C313" s="4" t="s">
        <v>30</v>
      </c>
      <c r="D313" s="4" t="s">
        <v>24</v>
      </c>
      <c r="E313" s="5" t="n">
        <v>48465.6</v>
      </c>
      <c r="F313" s="4" t="n">
        <v>5759</v>
      </c>
      <c r="G313" s="4" t="n">
        <v>0.154</v>
      </c>
      <c r="H313" s="4" t="n">
        <v>13</v>
      </c>
      <c r="I313" s="4" t="n">
        <v>87.5</v>
      </c>
      <c r="J313" s="6" t="n">
        <v>4.14</v>
      </c>
      <c r="K313" s="4" t="n">
        <v>0</v>
      </c>
      <c r="L313" s="6" t="n">
        <v>4</v>
      </c>
      <c r="M313" s="5" t="n">
        <v>628538.3</v>
      </c>
      <c r="N313" s="5" t="n">
        <v>112509.15</v>
      </c>
    </row>
    <row r="314" customFormat="false" ht="15" hidden="false" customHeight="false" outlineLevel="0" collapsed="false">
      <c r="A314" s="7" t="s">
        <v>105</v>
      </c>
      <c r="B314" s="7" t="s">
        <v>20</v>
      </c>
      <c r="C314" s="7" t="s">
        <v>30</v>
      </c>
      <c r="D314" s="7" t="s">
        <v>24</v>
      </c>
      <c r="E314" s="8" t="n">
        <v>23702.38</v>
      </c>
      <c r="F314" s="7" t="n">
        <v>5285</v>
      </c>
      <c r="G314" s="7" t="n">
        <v>0.167</v>
      </c>
      <c r="H314" s="7" t="n">
        <v>14</v>
      </c>
      <c r="I314" s="7" t="n">
        <v>79.7</v>
      </c>
      <c r="J314" s="9" t="n">
        <v>1.1</v>
      </c>
      <c r="K314" s="7" t="n">
        <v>0</v>
      </c>
      <c r="L314" s="9" t="n">
        <v>4.3</v>
      </c>
      <c r="M314" s="8" t="n">
        <v>536524.84</v>
      </c>
      <c r="N314" s="8" t="n">
        <v>92752.94</v>
      </c>
    </row>
    <row r="315" customFormat="false" ht="15" hidden="false" customHeight="false" outlineLevel="0" collapsed="false">
      <c r="A315" s="4" t="s">
        <v>105</v>
      </c>
      <c r="B315" s="4" t="s">
        <v>21</v>
      </c>
      <c r="C315" s="4" t="s">
        <v>30</v>
      </c>
      <c r="D315" s="4" t="s">
        <v>24</v>
      </c>
      <c r="E315" s="5" t="n">
        <v>54322.94</v>
      </c>
      <c r="F315" s="4" t="n">
        <v>5434</v>
      </c>
      <c r="G315" s="4" t="n">
        <v>0.2</v>
      </c>
      <c r="H315" s="4" t="n">
        <v>13</v>
      </c>
      <c r="I315" s="4" t="n">
        <v>85.7</v>
      </c>
      <c r="J315" s="6" t="n">
        <v>10.6</v>
      </c>
      <c r="K315" s="4" t="n">
        <v>0</v>
      </c>
      <c r="L315" s="6" t="n">
        <v>4.2</v>
      </c>
      <c r="M315" s="5" t="n">
        <v>621677.3</v>
      </c>
      <c r="N315" s="5" t="n">
        <v>105192.52</v>
      </c>
    </row>
    <row r="316" customFormat="false" ht="15" hidden="false" customHeight="false" outlineLevel="0" collapsed="false">
      <c r="A316" s="7" t="s">
        <v>105</v>
      </c>
      <c r="B316" s="7" t="s">
        <v>22</v>
      </c>
      <c r="C316" s="7" t="s">
        <v>30</v>
      </c>
      <c r="D316" s="7" t="s">
        <v>24</v>
      </c>
      <c r="E316" s="8" t="n">
        <v>86026.58</v>
      </c>
      <c r="F316" s="7" t="n">
        <v>7479</v>
      </c>
      <c r="G316" s="7" t="n">
        <v>0.142</v>
      </c>
      <c r="H316" s="7" t="n">
        <v>20</v>
      </c>
      <c r="I316" s="7" t="n">
        <v>89</v>
      </c>
      <c r="J316" s="9" t="n">
        <v>0.9</v>
      </c>
      <c r="K316" s="7" t="n">
        <v>0</v>
      </c>
      <c r="L316" s="9"/>
      <c r="M316" s="8" t="n">
        <v>771129.07</v>
      </c>
      <c r="N316" s="8" t="n">
        <v>116851.13</v>
      </c>
    </row>
    <row r="317" customFormat="false" ht="15" hidden="false" customHeight="false" outlineLevel="0" collapsed="false">
      <c r="A317" s="4" t="s">
        <v>106</v>
      </c>
      <c r="B317" s="4" t="s">
        <v>17</v>
      </c>
      <c r="C317" s="4" t="s">
        <v>26</v>
      </c>
      <c r="D317" s="4" t="s">
        <v>19</v>
      </c>
      <c r="E317" s="5" t="n">
        <v>78967.52</v>
      </c>
      <c r="F317" s="4" t="n">
        <v>6164</v>
      </c>
      <c r="G317" s="4" t="n">
        <v>0.021</v>
      </c>
      <c r="H317" s="4" t="n">
        <v>16</v>
      </c>
      <c r="I317" s="4" t="n">
        <v>85.5</v>
      </c>
      <c r="J317" s="6" t="n">
        <v>0.2</v>
      </c>
      <c r="K317" s="4" t="n">
        <v>0</v>
      </c>
      <c r="L317" s="6" t="n">
        <v>3.4</v>
      </c>
      <c r="M317" s="5" t="n">
        <v>702052.47</v>
      </c>
      <c r="N317" s="5" t="n">
        <v>121732.51</v>
      </c>
    </row>
    <row r="318" customFormat="false" ht="15" hidden="false" customHeight="false" outlineLevel="0" collapsed="false">
      <c r="A318" s="7" t="s">
        <v>106</v>
      </c>
      <c r="B318" s="7" t="s">
        <v>20</v>
      </c>
      <c r="C318" s="7" t="s">
        <v>26</v>
      </c>
      <c r="D318" s="7" t="s">
        <v>19</v>
      </c>
      <c r="E318" s="8" t="n">
        <v>46767.99</v>
      </c>
      <c r="F318" s="7" t="n">
        <v>7973</v>
      </c>
      <c r="G318" s="7" t="n">
        <v>0.183</v>
      </c>
      <c r="H318" s="7" t="n">
        <v>18</v>
      </c>
      <c r="I318" s="7" t="n">
        <v>94.8</v>
      </c>
      <c r="J318" s="9" t="n">
        <v>4.67</v>
      </c>
      <c r="K318" s="7" t="n">
        <v>0</v>
      </c>
      <c r="L318" s="9"/>
      <c r="M318" s="8" t="n">
        <v>688368.46</v>
      </c>
      <c r="N318" s="8" t="n">
        <v>93588.42</v>
      </c>
    </row>
    <row r="319" customFormat="false" ht="15" hidden="false" customHeight="false" outlineLevel="0" collapsed="false">
      <c r="A319" s="4" t="s">
        <v>106</v>
      </c>
      <c r="B319" s="4" t="s">
        <v>21</v>
      </c>
      <c r="C319" s="4" t="s">
        <v>26</v>
      </c>
      <c r="D319" s="4" t="s">
        <v>19</v>
      </c>
      <c r="E319" s="5" t="n">
        <v>62507.16</v>
      </c>
      <c r="F319" s="4" t="n">
        <v>6000</v>
      </c>
      <c r="G319" s="4" t="n">
        <v>0.091</v>
      </c>
      <c r="H319" s="4" t="n">
        <v>14</v>
      </c>
      <c r="I319" s="4" t="n">
        <v>98.2</v>
      </c>
      <c r="J319" s="6" t="n">
        <v>4.38</v>
      </c>
      <c r="K319" s="4" t="n">
        <v>1</v>
      </c>
      <c r="L319" s="6" t="n">
        <v>3.9</v>
      </c>
      <c r="M319" s="5" t="n">
        <v>712375.77</v>
      </c>
      <c r="N319" s="5" t="n">
        <v>104171.53</v>
      </c>
    </row>
    <row r="320" customFormat="false" ht="15" hidden="false" customHeight="false" outlineLevel="0" collapsed="false">
      <c r="A320" s="7" t="s">
        <v>106</v>
      </c>
      <c r="B320" s="7" t="s">
        <v>22</v>
      </c>
      <c r="C320" s="7" t="s">
        <v>26</v>
      </c>
      <c r="D320" s="7" t="s">
        <v>19</v>
      </c>
      <c r="E320" s="8" t="n">
        <v>66456.28</v>
      </c>
      <c r="F320" s="7" t="n">
        <v>9967</v>
      </c>
      <c r="G320" s="7" t="n">
        <v>0.108</v>
      </c>
      <c r="H320" s="7" t="n">
        <v>20</v>
      </c>
      <c r="I320" s="7" t="n">
        <v>94.7</v>
      </c>
      <c r="J320" s="9" t="n">
        <v>4.48</v>
      </c>
      <c r="K320" s="7" t="n">
        <v>0</v>
      </c>
      <c r="L320" s="9" t="n">
        <v>4.2</v>
      </c>
      <c r="M320" s="8" t="n">
        <v>844710.67</v>
      </c>
      <c r="N320" s="8" t="n">
        <v>137140.18</v>
      </c>
    </row>
    <row r="321" customFormat="false" ht="15" hidden="false" customHeight="false" outlineLevel="0" collapsed="false">
      <c r="A321" s="4" t="s">
        <v>107</v>
      </c>
      <c r="B321" s="4" t="s">
        <v>17</v>
      </c>
      <c r="C321" s="4" t="s">
        <v>18</v>
      </c>
      <c r="D321" s="4" t="s">
        <v>19</v>
      </c>
      <c r="E321" s="5" t="n">
        <v>76614.32</v>
      </c>
      <c r="F321" s="4" t="n">
        <v>5639</v>
      </c>
      <c r="G321" s="4" t="n">
        <v>0.174</v>
      </c>
      <c r="H321" s="4" t="n">
        <v>15</v>
      </c>
      <c r="I321" s="4" t="n">
        <v>92.9</v>
      </c>
      <c r="J321" s="6" t="n">
        <v>1.02</v>
      </c>
      <c r="K321" s="4" t="n">
        <v>1</v>
      </c>
      <c r="L321" s="6" t="n">
        <v>4</v>
      </c>
      <c r="M321" s="5" t="n">
        <v>620264.2</v>
      </c>
      <c r="N321" s="5" t="n">
        <v>91365.64</v>
      </c>
    </row>
    <row r="322" customFormat="false" ht="15" hidden="false" customHeight="false" outlineLevel="0" collapsed="false">
      <c r="A322" s="7" t="s">
        <v>107</v>
      </c>
      <c r="B322" s="7" t="s">
        <v>20</v>
      </c>
      <c r="C322" s="7" t="s">
        <v>18</v>
      </c>
      <c r="D322" s="7" t="s">
        <v>19</v>
      </c>
      <c r="E322" s="8" t="n">
        <v>24088.06</v>
      </c>
      <c r="F322" s="7" t="n">
        <v>3466</v>
      </c>
      <c r="G322" s="7" t="n">
        <v>0</v>
      </c>
      <c r="H322" s="7" t="n">
        <v>11</v>
      </c>
      <c r="I322" s="7" t="n">
        <v>88</v>
      </c>
      <c r="J322" s="9" t="n">
        <v>0.2</v>
      </c>
      <c r="K322" s="7" t="n">
        <v>0</v>
      </c>
      <c r="L322" s="9" t="n">
        <v>3.8</v>
      </c>
      <c r="M322" s="8" t="n">
        <v>536845.42</v>
      </c>
      <c r="N322" s="8" t="n">
        <v>107473.75</v>
      </c>
    </row>
    <row r="323" customFormat="false" ht="15" hidden="false" customHeight="false" outlineLevel="0" collapsed="false">
      <c r="A323" s="4" t="s">
        <v>107</v>
      </c>
      <c r="B323" s="4" t="s">
        <v>21</v>
      </c>
      <c r="C323" s="4" t="s">
        <v>18</v>
      </c>
      <c r="D323" s="4" t="s">
        <v>19</v>
      </c>
      <c r="E323" s="5" t="n">
        <v>81902.58</v>
      </c>
      <c r="F323" s="4" t="n">
        <v>7775</v>
      </c>
      <c r="G323" s="4" t="n">
        <v>0.215</v>
      </c>
      <c r="H323" s="4" t="n">
        <v>20</v>
      </c>
      <c r="I323" s="4" t="n">
        <v>85.2</v>
      </c>
      <c r="J323" s="6" t="n">
        <v>4.89</v>
      </c>
      <c r="K323" s="4" t="n">
        <v>1</v>
      </c>
      <c r="L323" s="6" t="n">
        <v>4.2</v>
      </c>
      <c r="M323" s="5" t="n">
        <v>726776.22</v>
      </c>
      <c r="N323" s="5" t="n">
        <v>90804.49</v>
      </c>
    </row>
    <row r="324" customFormat="false" ht="15" hidden="false" customHeight="false" outlineLevel="0" collapsed="false">
      <c r="A324" s="7" t="s">
        <v>107</v>
      </c>
      <c r="B324" s="7" t="s">
        <v>22</v>
      </c>
      <c r="C324" s="7" t="s">
        <v>18</v>
      </c>
      <c r="D324" s="7" t="s">
        <v>19</v>
      </c>
      <c r="E324" s="8" t="n">
        <v>40553.11</v>
      </c>
      <c r="F324" s="7" t="n">
        <v>5317</v>
      </c>
      <c r="G324" s="7" t="n">
        <v>0.165</v>
      </c>
      <c r="H324" s="7" t="n">
        <v>17</v>
      </c>
      <c r="I324" s="7" t="n">
        <v>84.3</v>
      </c>
      <c r="J324" s="9" t="n">
        <v>11.82</v>
      </c>
      <c r="K324" s="7" t="n">
        <v>0</v>
      </c>
      <c r="L324" s="9" t="n">
        <v>4.1</v>
      </c>
      <c r="M324" s="8" t="n">
        <v>559660.84</v>
      </c>
      <c r="N324" s="8" t="n">
        <v>71443.61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20"/>
    <col collapsed="false" customWidth="true" hidden="false" outlineLevel="0" max="11" min="11" style="0" width="11"/>
    <col collapsed="false" customWidth="true" hidden="false" outlineLevel="0" max="14" min="12" style="0" width="14"/>
  </cols>
  <sheetData>
    <row r="1" customFormat="false" ht="25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0" t="s">
        <v>109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79.85" hidden="false" customHeight="true" outlineLevel="0" collapsed="false">
      <c r="A5" s="11" t="s">
        <v>113</v>
      </c>
      <c r="B5" s="11" t="s">
        <v>114</v>
      </c>
      <c r="C5" s="11" t="s">
        <v>115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35.05" hidden="false" customHeight="true" outlineLevel="0" collapsed="false">
      <c r="A6" s="12" t="s">
        <v>116</v>
      </c>
      <c r="B6" s="12" t="s">
        <v>117</v>
      </c>
      <c r="C6" s="12" t="s">
        <v>118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customFormat="false" ht="79.85" hidden="false" customHeight="true" outlineLevel="0" collapsed="false">
      <c r="A7" s="11" t="s">
        <v>119</v>
      </c>
      <c r="B7" s="11" t="s">
        <v>120</v>
      </c>
      <c r="C7" s="11" t="s">
        <v>121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24.6" hidden="false" customHeight="true" outlineLevel="0" collapsed="false">
      <c r="A8" s="12" t="s">
        <v>122</v>
      </c>
      <c r="B8" s="12" t="s">
        <v>123</v>
      </c>
      <c r="C8" s="12" t="s">
        <v>124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10" customFormat="false" ht="15" hidden="false" customHeight="false" outlineLevel="0" collapsed="false">
      <c r="A10" s="10" t="s">
        <v>125</v>
      </c>
    </row>
    <row r="11" customFormat="false" ht="15" hidden="false" customHeight="false" outlineLevel="0" collapsed="false">
      <c r="A11" s="3" t="s">
        <v>126</v>
      </c>
      <c r="B11" s="3" t="s">
        <v>127</v>
      </c>
      <c r="C11" s="3" t="s">
        <v>128</v>
      </c>
      <c r="D11" s="3" t="s">
        <v>129</v>
      </c>
      <c r="E11" s="3" t="s">
        <v>130</v>
      </c>
      <c r="F11" s="3" t="s">
        <v>131</v>
      </c>
    </row>
    <row r="12" customFormat="false" ht="15" hidden="false" customHeight="false" outlineLevel="0" collapsed="false">
      <c r="A12" s="7" t="s">
        <v>6</v>
      </c>
      <c r="B12" s="7" t="n">
        <v>9534.65</v>
      </c>
      <c r="C12" s="7" t="n">
        <v>172415.52</v>
      </c>
      <c r="D12" s="7" t="n">
        <v>6941.6813</v>
      </c>
      <c r="E12" s="7" t="n">
        <v>104898.1312</v>
      </c>
      <c r="F12" s="7" t="n">
        <v>6</v>
      </c>
    </row>
    <row r="13" customFormat="false" ht="15" hidden="false" customHeight="false" outlineLevel="0" collapsed="false">
      <c r="A13" s="4" t="s">
        <v>7</v>
      </c>
      <c r="B13" s="4" t="s">
        <v>132</v>
      </c>
      <c r="C13" s="4" t="s">
        <v>133</v>
      </c>
      <c r="D13" s="4" t="n">
        <v>-1214.25</v>
      </c>
      <c r="E13" s="4" t="n">
        <v>14317.75</v>
      </c>
      <c r="F13" s="4" t="n">
        <v>0</v>
      </c>
    </row>
    <row r="14" customFormat="false" ht="15" hidden="false" customHeight="false" outlineLevel="0" collapsed="false">
      <c r="A14" s="7" t="s">
        <v>8</v>
      </c>
      <c r="B14" s="7" t="n">
        <v>0</v>
      </c>
      <c r="C14" s="7" t="n">
        <v>0.292</v>
      </c>
      <c r="D14" s="7" t="n">
        <v>-0.075</v>
      </c>
      <c r="E14" s="7" t="n">
        <v>0.319</v>
      </c>
      <c r="F14" s="7" t="n">
        <v>0</v>
      </c>
    </row>
    <row r="15" customFormat="false" ht="15" hidden="false" customHeight="false" outlineLevel="0" collapsed="false">
      <c r="A15" s="4" t="s">
        <v>9</v>
      </c>
      <c r="B15" s="4" t="s">
        <v>134</v>
      </c>
      <c r="C15" s="4" t="s">
        <v>135</v>
      </c>
      <c r="D15" s="4" t="n">
        <v>2.5</v>
      </c>
      <c r="E15" s="4" t="n">
        <v>30.5</v>
      </c>
      <c r="F15" s="4" t="n">
        <v>1</v>
      </c>
    </row>
    <row r="16" customFormat="false" ht="15" hidden="false" customHeight="false" outlineLevel="0" collapsed="false">
      <c r="A16" s="7" t="s">
        <v>10</v>
      </c>
      <c r="B16" s="7" t="n">
        <v>71</v>
      </c>
      <c r="C16" s="7" t="n">
        <v>99</v>
      </c>
      <c r="D16" s="7" t="n">
        <v>75.175</v>
      </c>
      <c r="E16" s="7" t="n">
        <v>101.775</v>
      </c>
      <c r="F16" s="7" t="n">
        <v>7</v>
      </c>
    </row>
    <row r="17" customFormat="false" ht="15" hidden="false" customHeight="false" outlineLevel="0" collapsed="false">
      <c r="A17" s="4" t="s">
        <v>11</v>
      </c>
      <c r="B17" s="4" t="n">
        <v>0.2</v>
      </c>
      <c r="C17" s="4" t="n">
        <v>22.02</v>
      </c>
      <c r="D17" s="4" t="n">
        <v>-6</v>
      </c>
      <c r="E17" s="4" t="n">
        <v>13.6</v>
      </c>
      <c r="F17" s="4" t="n">
        <v>15</v>
      </c>
    </row>
    <row r="18" customFormat="false" ht="15" hidden="false" customHeight="false" outlineLevel="0" collapsed="false">
      <c r="A18" s="7" t="s">
        <v>13</v>
      </c>
      <c r="B18" s="7" t="n">
        <v>2.8</v>
      </c>
      <c r="C18" s="7" t="n">
        <v>5</v>
      </c>
      <c r="D18" s="7" t="n">
        <v>2.3</v>
      </c>
      <c r="E18" s="7" t="n">
        <v>5.5</v>
      </c>
      <c r="F18" s="7" t="n">
        <v>0</v>
      </c>
    </row>
    <row r="19" customFormat="false" ht="15" hidden="false" customHeight="false" outlineLevel="0" collapsed="false">
      <c r="A19" s="4" t="s">
        <v>14</v>
      </c>
      <c r="B19" s="4" t="n">
        <v>400831.65</v>
      </c>
      <c r="C19" s="4" t="n">
        <v>946833.54</v>
      </c>
      <c r="D19" s="4" t="n">
        <v>392200.5425</v>
      </c>
      <c r="E19" s="4" t="n">
        <v>971495.8425</v>
      </c>
      <c r="F19" s="4" t="n">
        <v>0</v>
      </c>
    </row>
    <row r="20" customFormat="false" ht="15" hidden="false" customHeight="false" outlineLevel="0" collapsed="false">
      <c r="A20" s="7" t="s">
        <v>15</v>
      </c>
      <c r="B20" s="7" t="n">
        <v>53544.36</v>
      </c>
      <c r="C20" s="7" t="n">
        <v>200575.34</v>
      </c>
      <c r="D20" s="7" t="n">
        <v>32519.8638</v>
      </c>
      <c r="E20" s="7" t="n">
        <v>189671.2937</v>
      </c>
      <c r="F20" s="7" t="n">
        <v>1</v>
      </c>
    </row>
    <row r="22" customFormat="false" ht="15" hidden="false" customHeight="false" outlineLevel="0" collapsed="false">
      <c r="A22" s="10" t="s">
        <v>136</v>
      </c>
    </row>
    <row r="23" customFormat="false" ht="15" hidden="false" customHeight="false" outlineLevel="0" collapsed="false">
      <c r="A23" s="3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7</v>
      </c>
      <c r="G23" s="3" t="s">
        <v>8</v>
      </c>
      <c r="H23" s="3" t="s">
        <v>9</v>
      </c>
      <c r="I23" s="3" t="s">
        <v>10</v>
      </c>
      <c r="J23" s="3" t="s">
        <v>11</v>
      </c>
      <c r="K23" s="3" t="s">
        <v>12</v>
      </c>
      <c r="L23" s="3" t="s">
        <v>13</v>
      </c>
      <c r="M23" s="3" t="s">
        <v>14</v>
      </c>
      <c r="N23" s="3" t="s">
        <v>15</v>
      </c>
    </row>
    <row r="24" customFormat="false" ht="15" hidden="false" customHeight="false" outlineLevel="0" collapsed="false">
      <c r="A24" s="7" t="s">
        <v>16</v>
      </c>
      <c r="B24" s="7" t="s">
        <v>17</v>
      </c>
      <c r="C24" s="7" t="s">
        <v>18</v>
      </c>
      <c r="D24" s="7" t="s">
        <v>19</v>
      </c>
      <c r="E24" s="8" t="n">
        <v>70389.11</v>
      </c>
      <c r="F24" s="7" t="n">
        <v>8302</v>
      </c>
      <c r="G24" s="7" t="n">
        <v>0.042</v>
      </c>
      <c r="H24" s="7" t="n">
        <v>17</v>
      </c>
      <c r="I24" s="7" t="n">
        <v>75</v>
      </c>
      <c r="J24" s="9" t="n">
        <v>5.28</v>
      </c>
      <c r="K24" s="7" t="n">
        <v>1</v>
      </c>
      <c r="L24" s="9" t="n">
        <v>3.1</v>
      </c>
      <c r="M24" s="8" t="n">
        <v>658832.62</v>
      </c>
      <c r="N24" s="8" t="n">
        <v>84349.93</v>
      </c>
    </row>
    <row r="25" customFormat="false" ht="15" hidden="false" customHeight="false" outlineLevel="0" collapsed="false">
      <c r="A25" s="4" t="s">
        <v>16</v>
      </c>
      <c r="B25" s="4" t="s">
        <v>20</v>
      </c>
      <c r="C25" s="4" t="s">
        <v>18</v>
      </c>
      <c r="D25" s="4" t="s">
        <v>19</v>
      </c>
      <c r="E25" s="5" t="n">
        <v>43827.89</v>
      </c>
      <c r="F25" s="4" t="n">
        <v>8487</v>
      </c>
      <c r="G25" s="4" t="n">
        <v>0.168</v>
      </c>
      <c r="H25" s="4" t="n">
        <v>23</v>
      </c>
      <c r="I25" s="4" t="n">
        <v>84.4</v>
      </c>
      <c r="J25" s="6" t="n">
        <v>4.31</v>
      </c>
      <c r="K25" s="4" t="n">
        <v>0</v>
      </c>
      <c r="L25" s="6" t="n">
        <v>2.8</v>
      </c>
      <c r="M25" s="5" t="n">
        <v>634436</v>
      </c>
      <c r="N25" s="5" t="n">
        <v>106130.54</v>
      </c>
    </row>
    <row r="26" customFormat="false" ht="15" hidden="false" customHeight="false" outlineLevel="0" collapsed="false">
      <c r="A26" s="7" t="s">
        <v>16</v>
      </c>
      <c r="B26" s="7" t="s">
        <v>21</v>
      </c>
      <c r="C26" s="7" t="s">
        <v>18</v>
      </c>
      <c r="D26" s="7" t="s">
        <v>19</v>
      </c>
      <c r="E26" s="8" t="n">
        <v>59921.75</v>
      </c>
      <c r="F26" s="7" t="n">
        <v>9113</v>
      </c>
      <c r="G26" s="7" t="n">
        <v>0.133</v>
      </c>
      <c r="H26" s="7" t="n">
        <v>20</v>
      </c>
      <c r="I26" s="7" t="n">
        <v>88</v>
      </c>
      <c r="J26" s="9" t="n">
        <v>12</v>
      </c>
      <c r="K26" s="7" t="n">
        <v>0</v>
      </c>
      <c r="L26" s="9" t="n">
        <v>3.2</v>
      </c>
      <c r="M26" s="8" t="n">
        <v>678722.06</v>
      </c>
      <c r="N26" s="8" t="n">
        <v>101883.86</v>
      </c>
    </row>
    <row r="27" customFormat="false" ht="15" hidden="false" customHeight="false" outlineLevel="0" collapsed="false">
      <c r="A27" s="4" t="s">
        <v>16</v>
      </c>
      <c r="B27" s="4" t="s">
        <v>22</v>
      </c>
      <c r="C27" s="4" t="s">
        <v>18</v>
      </c>
      <c r="D27" s="4" t="s">
        <v>19</v>
      </c>
      <c r="E27" s="5" t="n">
        <v>56856.63</v>
      </c>
      <c r="F27" s="4" t="n">
        <v>9431</v>
      </c>
      <c r="G27" s="4" t="n">
        <v>0.142</v>
      </c>
      <c r="H27" s="4" t="n">
        <v>23</v>
      </c>
      <c r="I27" s="4" t="n">
        <v>86.9</v>
      </c>
      <c r="J27" s="6" t="n">
        <v>4.97</v>
      </c>
      <c r="K27" s="4" t="n">
        <v>0</v>
      </c>
      <c r="L27" s="6" t="n">
        <v>3.4</v>
      </c>
      <c r="M27" s="5" t="n">
        <v>658920.3</v>
      </c>
      <c r="N27" s="5" t="n">
        <v>97910.37</v>
      </c>
    </row>
    <row r="28" customFormat="false" ht="15" hidden="false" customHeight="false" outlineLevel="0" collapsed="false">
      <c r="A28" s="7" t="s">
        <v>23</v>
      </c>
      <c r="B28" s="7" t="s">
        <v>17</v>
      </c>
      <c r="C28" s="7" t="s">
        <v>18</v>
      </c>
      <c r="D28" s="7" t="s">
        <v>24</v>
      </c>
      <c r="E28" s="8" t="n">
        <v>48412.64</v>
      </c>
      <c r="F28" s="7" t="n">
        <v>9545</v>
      </c>
      <c r="G28" s="7" t="n">
        <v>0.231</v>
      </c>
      <c r="H28" s="7" t="n">
        <v>21</v>
      </c>
      <c r="I28" s="7" t="n">
        <v>97.6</v>
      </c>
      <c r="J28" s="9" t="n">
        <v>6.94</v>
      </c>
      <c r="K28" s="7" t="n">
        <v>1</v>
      </c>
      <c r="L28" s="9" t="n">
        <v>4.2</v>
      </c>
      <c r="M28" s="8" t="n">
        <v>741341.44</v>
      </c>
      <c r="N28" s="8" t="n">
        <v>119208.17</v>
      </c>
    </row>
    <row r="29" customFormat="false" ht="15" hidden="false" customHeight="false" outlineLevel="0" collapsed="false">
      <c r="A29" s="4" t="s">
        <v>23</v>
      </c>
      <c r="B29" s="4" t="s">
        <v>20</v>
      </c>
      <c r="C29" s="4" t="s">
        <v>18</v>
      </c>
      <c r="D29" s="4" t="s">
        <v>24</v>
      </c>
      <c r="E29" s="5" t="n">
        <v>64811.21</v>
      </c>
      <c r="F29" s="4" t="n">
        <v>9792</v>
      </c>
      <c r="G29" s="4" t="n">
        <v>0.112</v>
      </c>
      <c r="H29" s="4" t="n">
        <v>20</v>
      </c>
      <c r="I29" s="4" t="n">
        <v>84.2</v>
      </c>
      <c r="J29" s="6" t="n">
        <v>2.88</v>
      </c>
      <c r="K29" s="4" t="n">
        <v>0</v>
      </c>
      <c r="L29" s="6" t="n">
        <v>4.2</v>
      </c>
      <c r="M29" s="5" t="n">
        <v>761835.34</v>
      </c>
      <c r="N29" s="5" t="n">
        <v>149602.23</v>
      </c>
    </row>
    <row r="30" customFormat="false" ht="15" hidden="false" customHeight="false" outlineLevel="0" collapsed="false">
      <c r="A30" s="7" t="s">
        <v>23</v>
      </c>
      <c r="B30" s="7" t="s">
        <v>21</v>
      </c>
      <c r="C30" s="7" t="s">
        <v>18</v>
      </c>
      <c r="D30" s="7" t="s">
        <v>24</v>
      </c>
      <c r="E30" s="8" t="n">
        <v>46213.45</v>
      </c>
      <c r="F30" s="7" t="n">
        <v>10616</v>
      </c>
      <c r="G30" s="7" t="n">
        <v>0.122</v>
      </c>
      <c r="H30" s="7" t="n">
        <v>22</v>
      </c>
      <c r="I30" s="7" t="n">
        <v>85.2</v>
      </c>
      <c r="J30" s="9" t="n">
        <v>0.2</v>
      </c>
      <c r="K30" s="7" t="n">
        <v>1</v>
      </c>
      <c r="L30" s="9" t="n">
        <v>4.1</v>
      </c>
      <c r="M30" s="8" t="n">
        <v>806615.54</v>
      </c>
      <c r="N30" s="8" t="n">
        <v>131364.62</v>
      </c>
    </row>
    <row r="31" customFormat="false" ht="15" hidden="false" customHeight="false" outlineLevel="0" collapsed="false">
      <c r="A31" s="4" t="s">
        <v>23</v>
      </c>
      <c r="B31" s="4" t="s">
        <v>22</v>
      </c>
      <c r="C31" s="4" t="s">
        <v>18</v>
      </c>
      <c r="D31" s="4" t="s">
        <v>24</v>
      </c>
      <c r="E31" s="5" t="n">
        <v>68148.52</v>
      </c>
      <c r="F31" s="4" t="n">
        <v>8567</v>
      </c>
      <c r="G31" s="4" t="n">
        <v>0.127</v>
      </c>
      <c r="H31" s="4" t="n">
        <v>23</v>
      </c>
      <c r="I31" s="4" t="n">
        <v>95.6</v>
      </c>
      <c r="J31" s="6" t="n">
        <v>0.8</v>
      </c>
      <c r="K31" s="4" t="n">
        <v>0</v>
      </c>
      <c r="L31" s="6" t="n">
        <v>3.9</v>
      </c>
      <c r="M31" s="5" t="n">
        <v>850164.26</v>
      </c>
      <c r="N31" s="5" t="n">
        <v>149262.75</v>
      </c>
    </row>
    <row r="32" customFormat="false" ht="15" hidden="false" customHeight="false" outlineLevel="0" collapsed="false">
      <c r="A32" s="7" t="s">
        <v>25</v>
      </c>
      <c r="B32" s="7" t="s">
        <v>17</v>
      </c>
      <c r="C32" s="7" t="s">
        <v>26</v>
      </c>
      <c r="D32" s="7" t="s">
        <v>27</v>
      </c>
      <c r="E32" s="8" t="n">
        <v>71838.86</v>
      </c>
      <c r="F32" s="7" t="n">
        <v>10979</v>
      </c>
      <c r="G32" s="7" t="n">
        <v>0.215</v>
      </c>
      <c r="H32" s="7" t="n">
        <v>26</v>
      </c>
      <c r="I32" s="7" t="n">
        <v>88.6</v>
      </c>
      <c r="J32" s="9" t="n">
        <v>7.7</v>
      </c>
      <c r="K32" s="7" t="n">
        <v>1</v>
      </c>
      <c r="L32" s="9" t="n">
        <v>3.8</v>
      </c>
      <c r="M32" s="8" t="n">
        <v>930581.7</v>
      </c>
      <c r="N32" s="8" t="n">
        <v>136207.98</v>
      </c>
    </row>
    <row r="33" customFormat="false" ht="15" hidden="false" customHeight="false" outlineLevel="0" collapsed="false">
      <c r="A33" s="4" t="s">
        <v>25</v>
      </c>
      <c r="B33" s="4" t="s">
        <v>20</v>
      </c>
      <c r="C33" s="4" t="s">
        <v>26</v>
      </c>
      <c r="D33" s="4" t="s">
        <v>27</v>
      </c>
      <c r="E33" s="5" t="n">
        <v>68133.44</v>
      </c>
      <c r="F33" s="4" t="n">
        <v>9459</v>
      </c>
      <c r="G33" s="4" t="n">
        <v>0.22</v>
      </c>
      <c r="H33" s="4" t="n">
        <v>21</v>
      </c>
      <c r="I33" s="4" t="n">
        <v>85</v>
      </c>
      <c r="J33" s="6" t="n">
        <v>1.91</v>
      </c>
      <c r="K33" s="4" t="n">
        <v>0</v>
      </c>
      <c r="L33" s="6" t="n">
        <v>4.2</v>
      </c>
      <c r="M33" s="5" t="n">
        <v>779010.94</v>
      </c>
      <c r="N33" s="5" t="n">
        <v>106328.09</v>
      </c>
    </row>
    <row r="34" customFormat="false" ht="15" hidden="false" customHeight="false" outlineLevel="0" collapsed="false">
      <c r="A34" s="7" t="s">
        <v>25</v>
      </c>
      <c r="B34" s="7" t="s">
        <v>21</v>
      </c>
      <c r="C34" s="7" t="s">
        <v>26</v>
      </c>
      <c r="D34" s="7" t="s">
        <v>27</v>
      </c>
      <c r="E34" s="8" t="n">
        <v>34285.21</v>
      </c>
      <c r="F34" s="7" t="n">
        <v>9172</v>
      </c>
      <c r="G34" s="7" t="n">
        <v>0.213</v>
      </c>
      <c r="H34" s="7" t="n">
        <v>22</v>
      </c>
      <c r="I34" s="7" t="n">
        <v>88.3</v>
      </c>
      <c r="J34" s="9" t="n">
        <v>10.46</v>
      </c>
      <c r="K34" s="7" t="n">
        <v>1</v>
      </c>
      <c r="L34" s="9" t="n">
        <v>3.8</v>
      </c>
      <c r="M34" s="8" t="n">
        <v>723060.76</v>
      </c>
      <c r="N34" s="8" t="n">
        <v>123131.24</v>
      </c>
    </row>
    <row r="35" customFormat="false" ht="15" hidden="false" customHeight="false" outlineLevel="0" collapsed="false">
      <c r="A35" s="4" t="s">
        <v>25</v>
      </c>
      <c r="B35" s="4" t="s">
        <v>22</v>
      </c>
      <c r="C35" s="4" t="s">
        <v>26</v>
      </c>
      <c r="D35" s="4" t="s">
        <v>27</v>
      </c>
      <c r="E35" s="5" t="n">
        <v>67979.88</v>
      </c>
      <c r="F35" s="4" t="n">
        <v>11230</v>
      </c>
      <c r="G35" s="4" t="n">
        <v>0.002</v>
      </c>
      <c r="H35" s="4" t="n">
        <v>28</v>
      </c>
      <c r="I35" s="4" t="n">
        <v>85.3</v>
      </c>
      <c r="J35" s="6" t="n">
        <v>7.16</v>
      </c>
      <c r="K35" s="4" t="n">
        <v>0</v>
      </c>
      <c r="L35" s="6" t="n">
        <v>3.8</v>
      </c>
      <c r="M35" s="5" t="n">
        <v>910791.94</v>
      </c>
      <c r="N35" s="5" t="n">
        <v>158891.28</v>
      </c>
    </row>
    <row r="36" customFormat="false" ht="15" hidden="false" customHeight="false" outlineLevel="0" collapsed="false">
      <c r="A36" s="7" t="s">
        <v>28</v>
      </c>
      <c r="B36" s="7" t="s">
        <v>17</v>
      </c>
      <c r="C36" s="7" t="s">
        <v>18</v>
      </c>
      <c r="D36" s="7" t="s">
        <v>19</v>
      </c>
      <c r="E36" s="8" t="n">
        <v>71828.26</v>
      </c>
      <c r="F36" s="7" t="n">
        <v>12775</v>
      </c>
      <c r="G36" s="7" t="n">
        <v>0.116</v>
      </c>
      <c r="H36" s="7" t="n">
        <v>30</v>
      </c>
      <c r="I36" s="7" t="n">
        <v>81.7</v>
      </c>
      <c r="J36" s="9" t="n">
        <v>4.24</v>
      </c>
      <c r="K36" s="7" t="n">
        <v>1</v>
      </c>
      <c r="L36" s="9" t="n">
        <v>4.2</v>
      </c>
      <c r="M36" s="8" t="n">
        <v>922168.6</v>
      </c>
      <c r="N36" s="8" t="n">
        <v>107494.53</v>
      </c>
    </row>
    <row r="37" customFormat="false" ht="15" hidden="false" customHeight="false" outlineLevel="0" collapsed="false">
      <c r="A37" s="4" t="s">
        <v>28</v>
      </c>
      <c r="B37" s="4" t="s">
        <v>20</v>
      </c>
      <c r="C37" s="4" t="s">
        <v>18</v>
      </c>
      <c r="D37" s="4" t="s">
        <v>19</v>
      </c>
      <c r="E37" s="5" t="n">
        <v>55716.82</v>
      </c>
      <c r="F37" s="4" t="n">
        <v>10054</v>
      </c>
      <c r="G37" s="4" t="n">
        <v>0.146</v>
      </c>
      <c r="H37" s="4" t="n">
        <v>24</v>
      </c>
      <c r="I37" s="4" t="n">
        <v>84.9</v>
      </c>
      <c r="J37" s="6" t="n">
        <v>1.06</v>
      </c>
      <c r="K37" s="4" t="n">
        <v>0</v>
      </c>
      <c r="L37" s="6" t="n">
        <v>4.3</v>
      </c>
      <c r="M37" s="5" t="n">
        <v>726606.28</v>
      </c>
      <c r="N37" s="5" t="n">
        <v>122729.29</v>
      </c>
    </row>
    <row r="38" customFormat="false" ht="15" hidden="false" customHeight="false" outlineLevel="0" collapsed="false">
      <c r="A38" s="7" t="s">
        <v>28</v>
      </c>
      <c r="B38" s="7" t="s">
        <v>21</v>
      </c>
      <c r="C38" s="7" t="s">
        <v>18</v>
      </c>
      <c r="D38" s="7" t="s">
        <v>19</v>
      </c>
      <c r="E38" s="8" t="n">
        <v>59909.51</v>
      </c>
      <c r="F38" s="7" t="n">
        <v>8895</v>
      </c>
      <c r="G38" s="7" t="n">
        <v>0.228</v>
      </c>
      <c r="H38" s="7" t="n">
        <v>23</v>
      </c>
      <c r="I38" s="7" t="n">
        <v>88.8</v>
      </c>
      <c r="J38" s="9" t="n">
        <v>0.27</v>
      </c>
      <c r="K38" s="7" t="n">
        <v>0</v>
      </c>
      <c r="L38" s="9" t="n">
        <v>4.3</v>
      </c>
      <c r="M38" s="8" t="n">
        <v>746501.09</v>
      </c>
      <c r="N38" s="8" t="n">
        <v>136816.72</v>
      </c>
    </row>
    <row r="39" customFormat="false" ht="15" hidden="false" customHeight="false" outlineLevel="0" collapsed="false">
      <c r="A39" s="4" t="s">
        <v>28</v>
      </c>
      <c r="B39" s="4" t="s">
        <v>22</v>
      </c>
      <c r="C39" s="4" t="s">
        <v>18</v>
      </c>
      <c r="D39" s="4" t="s">
        <v>19</v>
      </c>
      <c r="E39" s="5" t="n">
        <v>75305.71</v>
      </c>
      <c r="F39" s="4" t="n">
        <v>10940</v>
      </c>
      <c r="G39" s="4" t="n">
        <v>0.006</v>
      </c>
      <c r="H39" s="4" t="n">
        <v>26</v>
      </c>
      <c r="I39" s="4" t="n">
        <v>76.5</v>
      </c>
      <c r="J39" s="6" t="n">
        <v>1.32</v>
      </c>
      <c r="K39" s="4" t="n">
        <v>0</v>
      </c>
      <c r="L39" s="6" t="n">
        <v>4.5</v>
      </c>
      <c r="M39" s="5" t="n">
        <v>834017.02</v>
      </c>
      <c r="N39" s="5" t="n">
        <v>114745.03</v>
      </c>
    </row>
    <row r="40" customFormat="false" ht="15" hidden="false" customHeight="false" outlineLevel="0" collapsed="false">
      <c r="A40" s="7" t="s">
        <v>29</v>
      </c>
      <c r="B40" s="7" t="s">
        <v>17</v>
      </c>
      <c r="C40" s="7" t="s">
        <v>30</v>
      </c>
      <c r="D40" s="7" t="s">
        <v>19</v>
      </c>
      <c r="E40" s="8" t="n">
        <v>48804.22</v>
      </c>
      <c r="F40" s="7" t="n">
        <v>7057</v>
      </c>
      <c r="G40" s="7" t="n">
        <v>0.005</v>
      </c>
      <c r="H40" s="7" t="n">
        <v>15</v>
      </c>
      <c r="I40" s="7" t="n">
        <v>87.7</v>
      </c>
      <c r="J40" s="9" t="n">
        <v>1.22</v>
      </c>
      <c r="K40" s="7" t="n">
        <v>0</v>
      </c>
      <c r="L40" s="9" t="n">
        <v>3.7</v>
      </c>
      <c r="M40" s="8" t="n">
        <v>666152.52</v>
      </c>
      <c r="N40" s="8" t="n">
        <v>107490.58</v>
      </c>
    </row>
    <row r="41" customFormat="false" ht="15" hidden="false" customHeight="false" outlineLevel="0" collapsed="false">
      <c r="A41" s="4" t="s">
        <v>29</v>
      </c>
      <c r="B41" s="4" t="s">
        <v>20</v>
      </c>
      <c r="C41" s="4" t="s">
        <v>30</v>
      </c>
      <c r="D41" s="4" t="s">
        <v>19</v>
      </c>
      <c r="E41" s="5" t="n">
        <v>59117.9</v>
      </c>
      <c r="F41" s="4" t="n">
        <v>4263</v>
      </c>
      <c r="G41" s="4" t="n">
        <v>0.119</v>
      </c>
      <c r="H41" s="4" t="n">
        <v>9</v>
      </c>
      <c r="I41" s="4" t="n">
        <v>87.6</v>
      </c>
      <c r="J41" s="6" t="n">
        <v>4.01</v>
      </c>
      <c r="K41" s="4" t="n">
        <v>0</v>
      </c>
      <c r="L41" s="6" t="n">
        <v>3.6</v>
      </c>
      <c r="M41" s="5" t="n">
        <v>573155.19</v>
      </c>
      <c r="N41" s="5" t="n">
        <v>83680.75</v>
      </c>
    </row>
    <row r="42" customFormat="false" ht="15" hidden="false" customHeight="false" outlineLevel="0" collapsed="false">
      <c r="A42" s="7" t="s">
        <v>29</v>
      </c>
      <c r="B42" s="7" t="s">
        <v>21</v>
      </c>
      <c r="C42" s="7" t="s">
        <v>30</v>
      </c>
      <c r="D42" s="7" t="s">
        <v>19</v>
      </c>
      <c r="E42" s="8" t="n">
        <v>78831.12</v>
      </c>
      <c r="F42" s="7" t="n">
        <v>5538</v>
      </c>
      <c r="G42" s="7" t="n">
        <v>0</v>
      </c>
      <c r="H42" s="7" t="n">
        <v>15</v>
      </c>
      <c r="I42" s="7" t="n">
        <v>94.1</v>
      </c>
      <c r="J42" s="9" t="n">
        <v>0.2</v>
      </c>
      <c r="K42" s="7" t="n">
        <v>0</v>
      </c>
      <c r="L42" s="9" t="n">
        <v>3.9</v>
      </c>
      <c r="M42" s="8" t="n">
        <v>666573.2</v>
      </c>
      <c r="N42" s="8" t="n">
        <v>140641.02</v>
      </c>
    </row>
    <row r="43" customFormat="false" ht="15" hidden="false" customHeight="false" outlineLevel="0" collapsed="false">
      <c r="A43" s="4" t="s">
        <v>29</v>
      </c>
      <c r="B43" s="4" t="s">
        <v>22</v>
      </c>
      <c r="C43" s="4" t="s">
        <v>30</v>
      </c>
      <c r="D43" s="4" t="s">
        <v>19</v>
      </c>
      <c r="E43" s="5" t="n">
        <v>41441.93</v>
      </c>
      <c r="F43" s="4" t="n">
        <v>4865</v>
      </c>
      <c r="G43" s="4" t="n">
        <v>0.158</v>
      </c>
      <c r="H43" s="4" t="n">
        <v>16</v>
      </c>
      <c r="I43" s="4" t="n">
        <v>88.3</v>
      </c>
      <c r="J43" s="6" t="n">
        <v>0.5</v>
      </c>
      <c r="K43" s="4" t="n">
        <v>0</v>
      </c>
      <c r="L43" s="6" t="n">
        <v>4</v>
      </c>
      <c r="M43" s="5" t="n">
        <v>591619.95</v>
      </c>
      <c r="N43" s="5" t="n">
        <v>99521.35</v>
      </c>
    </row>
    <row r="44" customFormat="false" ht="15" hidden="false" customHeight="false" outlineLevel="0" collapsed="false">
      <c r="A44" s="7" t="s">
        <v>31</v>
      </c>
      <c r="B44" s="7" t="s">
        <v>17</v>
      </c>
      <c r="C44" s="7" t="s">
        <v>26</v>
      </c>
      <c r="D44" s="7" t="s">
        <v>19</v>
      </c>
      <c r="E44" s="8" t="n">
        <v>30356.28</v>
      </c>
      <c r="F44" s="7" t="n">
        <v>2822</v>
      </c>
      <c r="G44" s="7" t="n">
        <v>0.231</v>
      </c>
      <c r="H44" s="7" t="n">
        <v>9</v>
      </c>
      <c r="I44" s="7" t="n">
        <v>84.8</v>
      </c>
      <c r="J44" s="9" t="n">
        <v>6.95</v>
      </c>
      <c r="K44" s="7" t="n">
        <v>0</v>
      </c>
      <c r="L44" s="9" t="n">
        <v>5</v>
      </c>
      <c r="M44" s="8" t="n">
        <v>415721.82</v>
      </c>
      <c r="N44" s="8" t="n">
        <v>61179.15</v>
      </c>
    </row>
    <row r="45" customFormat="false" ht="15" hidden="false" customHeight="false" outlineLevel="0" collapsed="false">
      <c r="A45" s="4" t="s">
        <v>31</v>
      </c>
      <c r="B45" s="4" t="s">
        <v>20</v>
      </c>
      <c r="C45" s="4" t="s">
        <v>26</v>
      </c>
      <c r="D45" s="4" t="s">
        <v>19</v>
      </c>
      <c r="E45" s="5" t="n">
        <v>33518.88</v>
      </c>
      <c r="F45" s="4" t="n">
        <v>2121</v>
      </c>
      <c r="G45" s="4" t="n">
        <v>0.176</v>
      </c>
      <c r="H45" s="4" t="n">
        <v>8</v>
      </c>
      <c r="I45" s="4" t="n">
        <v>88.5</v>
      </c>
      <c r="J45" s="6" t="n">
        <v>0.2</v>
      </c>
      <c r="K45" s="4" t="n">
        <v>0</v>
      </c>
      <c r="L45" s="6" t="n">
        <v>5</v>
      </c>
      <c r="M45" s="5" t="n">
        <v>491905.13</v>
      </c>
      <c r="N45" s="5" t="n">
        <v>79212.26</v>
      </c>
    </row>
    <row r="46" customFormat="false" ht="15" hidden="false" customHeight="false" outlineLevel="0" collapsed="false">
      <c r="A46" s="7" t="s">
        <v>31</v>
      </c>
      <c r="B46" s="7" t="s">
        <v>21</v>
      </c>
      <c r="C46" s="7" t="s">
        <v>26</v>
      </c>
      <c r="D46" s="7" t="s">
        <v>19</v>
      </c>
      <c r="E46" s="8" t="n">
        <v>42267.37</v>
      </c>
      <c r="F46" s="7" t="n">
        <v>3364</v>
      </c>
      <c r="G46" s="7" t="n">
        <v>0.16</v>
      </c>
      <c r="H46" s="7" t="n">
        <v>13</v>
      </c>
      <c r="I46" s="7" t="n">
        <v>82</v>
      </c>
      <c r="J46" s="9" t="n">
        <v>1.61</v>
      </c>
      <c r="K46" s="7" t="n">
        <v>1</v>
      </c>
      <c r="L46" s="9" t="n">
        <v>4.6</v>
      </c>
      <c r="M46" s="8" t="n">
        <v>555929.4</v>
      </c>
      <c r="N46" s="8" t="n">
        <v>115201.76</v>
      </c>
    </row>
    <row r="47" customFormat="false" ht="15" hidden="false" customHeight="false" outlineLevel="0" collapsed="false">
      <c r="A47" s="4" t="s">
        <v>31</v>
      </c>
      <c r="B47" s="4" t="s">
        <v>22</v>
      </c>
      <c r="C47" s="4" t="s">
        <v>26</v>
      </c>
      <c r="D47" s="4" t="s">
        <v>19</v>
      </c>
      <c r="E47" s="5" t="n">
        <v>62060.43</v>
      </c>
      <c r="F47" s="4" t="n">
        <v>2613</v>
      </c>
      <c r="G47" s="4" t="n">
        <v>0.216</v>
      </c>
      <c r="H47" s="4" t="n">
        <v>12</v>
      </c>
      <c r="I47" s="4" t="n">
        <v>92.1</v>
      </c>
      <c r="J47" s="6" t="n">
        <v>1.55</v>
      </c>
      <c r="K47" s="4" t="n">
        <v>0</v>
      </c>
      <c r="L47" s="6" t="n">
        <v>4.7</v>
      </c>
      <c r="M47" s="5" t="n">
        <v>565810.99</v>
      </c>
      <c r="N47" s="5" t="n">
        <v>77825.46</v>
      </c>
    </row>
    <row r="48" customFormat="false" ht="15" hidden="false" customHeight="false" outlineLevel="0" collapsed="false">
      <c r="A48" s="7" t="s">
        <v>32</v>
      </c>
      <c r="B48" s="7" t="s">
        <v>17</v>
      </c>
      <c r="C48" s="7" t="s">
        <v>33</v>
      </c>
      <c r="D48" s="7" t="s">
        <v>34</v>
      </c>
      <c r="E48" s="8" t="n">
        <v>57696.69</v>
      </c>
      <c r="F48" s="7" t="n">
        <v>10218</v>
      </c>
      <c r="G48" s="7" t="n">
        <v>0.121</v>
      </c>
      <c r="H48" s="7" t="n">
        <v>25</v>
      </c>
      <c r="I48" s="7" t="n">
        <v>94.8</v>
      </c>
      <c r="J48" s="9" t="n">
        <v>2.99</v>
      </c>
      <c r="K48" s="7" t="n">
        <v>0</v>
      </c>
      <c r="L48" s="9" t="n">
        <v>3.5</v>
      </c>
      <c r="M48" s="8" t="n">
        <v>811771.14</v>
      </c>
      <c r="N48" s="8" t="n">
        <v>148756.24</v>
      </c>
    </row>
    <row r="49" customFormat="false" ht="15" hidden="false" customHeight="false" outlineLevel="0" collapsed="false">
      <c r="A49" s="4" t="s">
        <v>32</v>
      </c>
      <c r="B49" s="4" t="s">
        <v>20</v>
      </c>
      <c r="C49" s="4" t="s">
        <v>33</v>
      </c>
      <c r="D49" s="4" t="s">
        <v>34</v>
      </c>
      <c r="E49" s="5" t="n">
        <v>172415.52</v>
      </c>
      <c r="F49" s="4" t="n">
        <v>8927</v>
      </c>
      <c r="G49" s="4" t="n">
        <v>0.14</v>
      </c>
      <c r="H49" s="4" t="n">
        <v>22</v>
      </c>
      <c r="I49" s="4" t="n">
        <v>86.2</v>
      </c>
      <c r="J49" s="6" t="n">
        <v>7.04</v>
      </c>
      <c r="K49" s="4" t="n">
        <v>0</v>
      </c>
      <c r="L49" s="6" t="n">
        <v>3.9</v>
      </c>
      <c r="M49" s="5" t="n">
        <v>800451.94</v>
      </c>
      <c r="N49" s="5" t="n">
        <v>111572.29</v>
      </c>
    </row>
    <row r="50" customFormat="false" ht="15" hidden="false" customHeight="false" outlineLevel="0" collapsed="false">
      <c r="A50" s="7" t="s">
        <v>32</v>
      </c>
      <c r="B50" s="7" t="s">
        <v>21</v>
      </c>
      <c r="C50" s="7" t="s">
        <v>33</v>
      </c>
      <c r="D50" s="7" t="s">
        <v>34</v>
      </c>
      <c r="E50" s="8" t="n">
        <v>55270.52</v>
      </c>
      <c r="F50" s="7" t="n">
        <v>9315</v>
      </c>
      <c r="G50" s="7" t="n">
        <v>0.169</v>
      </c>
      <c r="H50" s="7" t="n">
        <v>23</v>
      </c>
      <c r="I50" s="7" t="n">
        <v>91.9</v>
      </c>
      <c r="J50" s="9" t="n">
        <v>4.94</v>
      </c>
      <c r="K50" s="7" t="n">
        <v>0</v>
      </c>
      <c r="L50" s="9" t="n">
        <v>4</v>
      </c>
      <c r="M50" s="8" t="n">
        <v>783672.82</v>
      </c>
      <c r="N50" s="8" t="n">
        <v>112577.14</v>
      </c>
    </row>
    <row r="51" customFormat="false" ht="15" hidden="false" customHeight="false" outlineLevel="0" collapsed="false">
      <c r="A51" s="4" t="s">
        <v>32</v>
      </c>
      <c r="B51" s="4" t="s">
        <v>22</v>
      </c>
      <c r="C51" s="4" t="s">
        <v>33</v>
      </c>
      <c r="D51" s="4" t="s">
        <v>34</v>
      </c>
      <c r="E51" s="5" t="n">
        <v>52715.1</v>
      </c>
      <c r="F51" s="4" t="n">
        <v>7223</v>
      </c>
      <c r="G51" s="4" t="n">
        <v>0.122</v>
      </c>
      <c r="H51" s="4" t="n">
        <v>16</v>
      </c>
      <c r="I51" s="4" t="n">
        <v>84.2</v>
      </c>
      <c r="J51" s="6" t="n">
        <v>16.15</v>
      </c>
      <c r="K51" s="4" t="n">
        <v>0</v>
      </c>
      <c r="L51" s="6" t="n">
        <v>3.7</v>
      </c>
      <c r="M51" s="5" t="n">
        <v>701641.97</v>
      </c>
      <c r="N51" s="5" t="n">
        <v>106111.86</v>
      </c>
    </row>
    <row r="52" customFormat="false" ht="15" hidden="false" customHeight="false" outlineLevel="0" collapsed="false">
      <c r="A52" s="7" t="s">
        <v>35</v>
      </c>
      <c r="B52" s="7" t="s">
        <v>17</v>
      </c>
      <c r="C52" s="7" t="s">
        <v>18</v>
      </c>
      <c r="D52" s="7" t="s">
        <v>19</v>
      </c>
      <c r="E52" s="8" t="n">
        <v>68600.62</v>
      </c>
      <c r="F52" s="7" t="n">
        <v>3988</v>
      </c>
      <c r="G52" s="7" t="n">
        <v>0.124</v>
      </c>
      <c r="H52" s="7" t="n">
        <v>11</v>
      </c>
      <c r="I52" s="7" t="n">
        <v>85</v>
      </c>
      <c r="J52" s="9" t="n">
        <v>0.48</v>
      </c>
      <c r="K52" s="7" t="n">
        <v>0</v>
      </c>
      <c r="L52" s="9" t="n">
        <v>3.6</v>
      </c>
      <c r="M52" s="8" t="n">
        <v>511844.41</v>
      </c>
      <c r="N52" s="8" t="n">
        <v>72774.44</v>
      </c>
    </row>
    <row r="53" customFormat="false" ht="15" hidden="false" customHeight="false" outlineLevel="0" collapsed="false">
      <c r="A53" s="4" t="s">
        <v>35</v>
      </c>
      <c r="B53" s="4" t="s">
        <v>20</v>
      </c>
      <c r="C53" s="4" t="s">
        <v>18</v>
      </c>
      <c r="D53" s="4" t="s">
        <v>19</v>
      </c>
      <c r="E53" s="5" t="n">
        <v>63176.73</v>
      </c>
      <c r="F53" s="4" t="n">
        <v>2390</v>
      </c>
      <c r="G53" s="4" t="n">
        <v>0.216</v>
      </c>
      <c r="H53" s="4" t="n">
        <v>9</v>
      </c>
      <c r="I53" s="4" t="n">
        <v>87.5</v>
      </c>
      <c r="J53" s="6" t="n">
        <v>0.31</v>
      </c>
      <c r="K53" s="4" t="n">
        <v>0</v>
      </c>
      <c r="L53" s="6" t="n">
        <v>3.1</v>
      </c>
      <c r="M53" s="5" t="n">
        <v>537383.79</v>
      </c>
      <c r="N53" s="5" t="n">
        <v>63773.27</v>
      </c>
    </row>
    <row r="54" customFormat="false" ht="15" hidden="false" customHeight="false" outlineLevel="0" collapsed="false">
      <c r="A54" s="7" t="s">
        <v>35</v>
      </c>
      <c r="B54" s="7" t="s">
        <v>21</v>
      </c>
      <c r="C54" s="7" t="s">
        <v>18</v>
      </c>
      <c r="D54" s="7" t="s">
        <v>19</v>
      </c>
      <c r="E54" s="8" t="n">
        <v>44970.08</v>
      </c>
      <c r="F54" s="7" t="n">
        <v>2471</v>
      </c>
      <c r="G54" s="7" t="n">
        <v>0.136</v>
      </c>
      <c r="H54" s="7" t="n">
        <v>11</v>
      </c>
      <c r="I54" s="7" t="n">
        <v>87.6</v>
      </c>
      <c r="J54" s="9" t="n">
        <v>3.01</v>
      </c>
      <c r="K54" s="7" t="n">
        <v>1</v>
      </c>
      <c r="L54" s="9" t="n">
        <v>3.7</v>
      </c>
      <c r="M54" s="8" t="n">
        <v>500173.02</v>
      </c>
      <c r="N54" s="8" t="n">
        <v>70982.05</v>
      </c>
    </row>
    <row r="55" customFormat="false" ht="15" hidden="false" customHeight="false" outlineLevel="0" collapsed="false">
      <c r="A55" s="4" t="s">
        <v>35</v>
      </c>
      <c r="B55" s="4" t="s">
        <v>22</v>
      </c>
      <c r="C55" s="4" t="s">
        <v>18</v>
      </c>
      <c r="D55" s="4" t="s">
        <v>19</v>
      </c>
      <c r="E55" s="5" t="n">
        <v>69816.35</v>
      </c>
      <c r="F55" s="4" t="n">
        <v>971</v>
      </c>
      <c r="G55" s="4" t="n">
        <v>0.168</v>
      </c>
      <c r="H55" s="4" t="n">
        <v>5</v>
      </c>
      <c r="I55" s="4" t="n">
        <v>89.9</v>
      </c>
      <c r="J55" s="6" t="n">
        <v>12.15</v>
      </c>
      <c r="K55" s="4" t="n">
        <v>0</v>
      </c>
      <c r="L55" s="6" t="n">
        <v>3.6</v>
      </c>
      <c r="M55" s="5" t="n">
        <v>427917.38</v>
      </c>
      <c r="N55" s="5" t="n">
        <v>81824.31</v>
      </c>
    </row>
    <row r="56" customFormat="false" ht="15" hidden="false" customHeight="false" outlineLevel="0" collapsed="false">
      <c r="A56" s="7" t="s">
        <v>36</v>
      </c>
      <c r="B56" s="7" t="s">
        <v>17</v>
      </c>
      <c r="C56" s="7" t="s">
        <v>26</v>
      </c>
      <c r="D56" s="7" t="s">
        <v>19</v>
      </c>
      <c r="E56" s="8" t="n">
        <v>54597.83</v>
      </c>
      <c r="F56" s="7" t="n">
        <v>9429</v>
      </c>
      <c r="G56" s="7" t="n">
        <v>0.188</v>
      </c>
      <c r="H56" s="7" t="n">
        <v>21</v>
      </c>
      <c r="I56" s="7" t="n">
        <v>83.3</v>
      </c>
      <c r="J56" s="9" t="n">
        <v>11.71</v>
      </c>
      <c r="K56" s="7" t="n">
        <v>0</v>
      </c>
      <c r="L56" s="9" t="n">
        <v>4.2</v>
      </c>
      <c r="M56" s="8" t="n">
        <v>641865.03</v>
      </c>
      <c r="N56" s="8" t="n">
        <v>81342.58</v>
      </c>
    </row>
    <row r="57" customFormat="false" ht="15" hidden="false" customHeight="false" outlineLevel="0" collapsed="false">
      <c r="A57" s="4" t="s">
        <v>36</v>
      </c>
      <c r="B57" s="4" t="s">
        <v>20</v>
      </c>
      <c r="C57" s="4" t="s">
        <v>26</v>
      </c>
      <c r="D57" s="4" t="s">
        <v>19</v>
      </c>
      <c r="E57" s="5" t="n">
        <v>73771.91</v>
      </c>
      <c r="F57" s="4" t="n">
        <v>11695</v>
      </c>
      <c r="G57" s="4" t="n">
        <v>0.07</v>
      </c>
      <c r="H57" s="4" t="n">
        <v>25</v>
      </c>
      <c r="I57" s="4" t="n">
        <v>84.7</v>
      </c>
      <c r="J57" s="6" t="n">
        <v>0.62</v>
      </c>
      <c r="K57" s="4" t="n">
        <v>0</v>
      </c>
      <c r="L57" s="6" t="n">
        <v>4</v>
      </c>
      <c r="M57" s="5" t="n">
        <v>799477.76</v>
      </c>
      <c r="N57" s="5" t="n">
        <v>164974.41</v>
      </c>
    </row>
    <row r="58" customFormat="false" ht="15" hidden="false" customHeight="false" outlineLevel="0" collapsed="false">
      <c r="A58" s="7" t="s">
        <v>36</v>
      </c>
      <c r="B58" s="7" t="s">
        <v>21</v>
      </c>
      <c r="C58" s="7" t="s">
        <v>26</v>
      </c>
      <c r="D58" s="7" t="s">
        <v>19</v>
      </c>
      <c r="E58" s="8" t="n">
        <v>74413.88</v>
      </c>
      <c r="F58" s="7" t="n">
        <v>9449</v>
      </c>
      <c r="G58" s="7" t="n">
        <v>0.039</v>
      </c>
      <c r="H58" s="7" t="n">
        <v>23</v>
      </c>
      <c r="I58" s="7" t="n">
        <v>92.1</v>
      </c>
      <c r="J58" s="9" t="n">
        <v>2.12</v>
      </c>
      <c r="K58" s="7" t="n">
        <v>0</v>
      </c>
      <c r="L58" s="9" t="n">
        <v>3.5</v>
      </c>
      <c r="M58" s="8" t="n">
        <v>798952.17</v>
      </c>
      <c r="N58" s="8" t="n">
        <v>161499.04</v>
      </c>
    </row>
    <row r="59" customFormat="false" ht="15" hidden="false" customHeight="false" outlineLevel="0" collapsed="false">
      <c r="A59" s="4" t="s">
        <v>36</v>
      </c>
      <c r="B59" s="4" t="s">
        <v>22</v>
      </c>
      <c r="C59" s="4" t="s">
        <v>26</v>
      </c>
      <c r="D59" s="4" t="s">
        <v>19</v>
      </c>
      <c r="E59" s="5" t="n">
        <v>52483.77</v>
      </c>
      <c r="F59" s="4" t="n">
        <v>10453</v>
      </c>
      <c r="G59" s="4" t="n">
        <v>0.247</v>
      </c>
      <c r="H59" s="4" t="n">
        <v>25</v>
      </c>
      <c r="I59" s="4" t="n">
        <v>99</v>
      </c>
      <c r="J59" s="6" t="n">
        <v>6.31</v>
      </c>
      <c r="K59" s="4" t="n">
        <v>0</v>
      </c>
      <c r="L59" s="6" t="n">
        <v>3.6</v>
      </c>
      <c r="M59" s="5" t="n">
        <v>800979.78</v>
      </c>
      <c r="N59" s="5" t="n">
        <v>149242.27</v>
      </c>
    </row>
    <row r="60" customFormat="false" ht="15" hidden="false" customHeight="false" outlineLevel="0" collapsed="false">
      <c r="A60" s="7" t="s">
        <v>37</v>
      </c>
      <c r="B60" s="7" t="s">
        <v>17</v>
      </c>
      <c r="C60" s="7" t="s">
        <v>26</v>
      </c>
      <c r="D60" s="7" t="s">
        <v>34</v>
      </c>
      <c r="E60" s="8" t="n">
        <v>75269.87</v>
      </c>
      <c r="F60" s="7" t="n">
        <v>8838</v>
      </c>
      <c r="G60" s="7" t="n">
        <v>0.092</v>
      </c>
      <c r="H60" s="7" t="n">
        <v>21</v>
      </c>
      <c r="I60" s="7" t="n">
        <v>83.1</v>
      </c>
      <c r="J60" s="9" t="n">
        <v>9.56</v>
      </c>
      <c r="K60" s="7" t="n">
        <v>1</v>
      </c>
      <c r="L60" s="9" t="n">
        <v>4.2</v>
      </c>
      <c r="M60" s="8" t="n">
        <v>820593.93</v>
      </c>
      <c r="N60" s="8" t="n">
        <v>115860.06</v>
      </c>
    </row>
    <row r="61" customFormat="false" ht="15" hidden="false" customHeight="false" outlineLevel="0" collapsed="false">
      <c r="A61" s="4" t="s">
        <v>37</v>
      </c>
      <c r="B61" s="4" t="s">
        <v>20</v>
      </c>
      <c r="C61" s="4" t="s">
        <v>26</v>
      </c>
      <c r="D61" s="4" t="s">
        <v>34</v>
      </c>
      <c r="E61" s="5" t="n">
        <v>61245.41</v>
      </c>
      <c r="F61" s="4" t="n">
        <v>8156</v>
      </c>
      <c r="G61" s="4" t="n">
        <v>0.156</v>
      </c>
      <c r="H61" s="4" t="n">
        <v>19</v>
      </c>
      <c r="I61" s="4" t="n">
        <v>92.9</v>
      </c>
      <c r="J61" s="6" t="n">
        <v>9.05</v>
      </c>
      <c r="K61" s="4" t="n">
        <v>0</v>
      </c>
      <c r="L61" s="6" t="n">
        <v>3.8</v>
      </c>
      <c r="M61" s="5" t="n">
        <v>718330.53</v>
      </c>
      <c r="N61" s="5" t="n">
        <v>93247.9</v>
      </c>
    </row>
    <row r="62" customFormat="false" ht="15" hidden="false" customHeight="false" outlineLevel="0" collapsed="false">
      <c r="A62" s="7" t="s">
        <v>37</v>
      </c>
      <c r="B62" s="7" t="s">
        <v>21</v>
      </c>
      <c r="C62" s="7" t="s">
        <v>26</v>
      </c>
      <c r="D62" s="7" t="s">
        <v>34</v>
      </c>
      <c r="E62" s="8" t="n">
        <v>93381.26</v>
      </c>
      <c r="F62" s="7" t="n">
        <v>7562</v>
      </c>
      <c r="G62" s="7" t="n">
        <v>0.198</v>
      </c>
      <c r="H62" s="7" t="n">
        <v>19</v>
      </c>
      <c r="I62" s="7" t="n">
        <v>82.9</v>
      </c>
      <c r="J62" s="9" t="n">
        <v>5.05</v>
      </c>
      <c r="K62" s="7" t="n">
        <v>0</v>
      </c>
      <c r="L62" s="9" t="n">
        <v>4</v>
      </c>
      <c r="M62" s="8" t="n">
        <v>736633.4</v>
      </c>
      <c r="N62" s="8" t="n">
        <v>115654.66</v>
      </c>
    </row>
    <row r="63" customFormat="false" ht="15" hidden="false" customHeight="false" outlineLevel="0" collapsed="false">
      <c r="A63" s="4" t="s">
        <v>37</v>
      </c>
      <c r="B63" s="4" t="s">
        <v>22</v>
      </c>
      <c r="C63" s="4" t="s">
        <v>26</v>
      </c>
      <c r="D63" s="4" t="s">
        <v>34</v>
      </c>
      <c r="E63" s="5" t="n">
        <v>65012.19</v>
      </c>
      <c r="F63" s="4" t="n">
        <v>9598</v>
      </c>
      <c r="G63" s="4" t="n">
        <v>0.085</v>
      </c>
      <c r="H63" s="4" t="n">
        <v>24</v>
      </c>
      <c r="I63" s="4" t="n">
        <v>98.3</v>
      </c>
      <c r="J63" s="6" t="n">
        <v>0.89</v>
      </c>
      <c r="K63" s="4" t="n">
        <v>0</v>
      </c>
      <c r="L63" s="6" t="n">
        <v>3.8</v>
      </c>
      <c r="M63" s="5" t="n">
        <v>828623.85</v>
      </c>
      <c r="N63" s="5" t="n">
        <v>167320.52</v>
      </c>
    </row>
    <row r="64" customFormat="false" ht="15" hidden="false" customHeight="false" outlineLevel="0" collapsed="false">
      <c r="A64" s="7" t="s">
        <v>38</v>
      </c>
      <c r="B64" s="7" t="s">
        <v>17</v>
      </c>
      <c r="C64" s="7" t="s">
        <v>18</v>
      </c>
      <c r="D64" s="7" t="s">
        <v>34</v>
      </c>
      <c r="E64" s="8" t="n">
        <v>40462.94</v>
      </c>
      <c r="F64" s="7" t="n">
        <v>3660</v>
      </c>
      <c r="G64" s="7" t="n">
        <v>0.218</v>
      </c>
      <c r="H64" s="7" t="n">
        <v>11</v>
      </c>
      <c r="I64" s="7" t="n">
        <v>95.2</v>
      </c>
      <c r="J64" s="9" t="n">
        <v>5.57</v>
      </c>
      <c r="K64" s="7" t="n">
        <v>0</v>
      </c>
      <c r="L64" s="9" t="n">
        <v>4.4</v>
      </c>
      <c r="M64" s="8" t="n">
        <v>592195.85</v>
      </c>
      <c r="N64" s="8" t="n">
        <v>92291.56</v>
      </c>
    </row>
    <row r="65" customFormat="false" ht="15" hidden="false" customHeight="false" outlineLevel="0" collapsed="false">
      <c r="A65" s="4" t="s">
        <v>38</v>
      </c>
      <c r="B65" s="4" t="s">
        <v>20</v>
      </c>
      <c r="C65" s="4" t="s">
        <v>18</v>
      </c>
      <c r="D65" s="4" t="s">
        <v>34</v>
      </c>
      <c r="E65" s="5" t="n">
        <v>46123.88</v>
      </c>
      <c r="F65" s="4" t="n">
        <v>3227</v>
      </c>
      <c r="G65" s="4" t="n">
        <v>0.143</v>
      </c>
      <c r="H65" s="4" t="n">
        <v>10</v>
      </c>
      <c r="I65" s="4" t="n">
        <v>75.4</v>
      </c>
      <c r="J65" s="6" t="n">
        <v>1.06</v>
      </c>
      <c r="K65" s="4" t="n">
        <v>0</v>
      </c>
      <c r="L65" s="6" t="n">
        <v>4.4</v>
      </c>
      <c r="M65" s="5" t="n">
        <v>532644.46</v>
      </c>
      <c r="N65" s="5" t="n">
        <v>60681.32</v>
      </c>
    </row>
    <row r="66" customFormat="false" ht="15" hidden="false" customHeight="false" outlineLevel="0" collapsed="false">
      <c r="A66" s="7" t="s">
        <v>38</v>
      </c>
      <c r="B66" s="7" t="s">
        <v>21</v>
      </c>
      <c r="C66" s="7" t="s">
        <v>18</v>
      </c>
      <c r="D66" s="7" t="s">
        <v>34</v>
      </c>
      <c r="E66" s="8" t="n">
        <v>68077.54</v>
      </c>
      <c r="F66" s="7" t="n">
        <v>3360</v>
      </c>
      <c r="G66" s="7" t="n">
        <v>0.128</v>
      </c>
      <c r="H66" s="7" t="n">
        <v>14</v>
      </c>
      <c r="I66" s="7" t="n">
        <v>88.2</v>
      </c>
      <c r="J66" s="9" t="n">
        <v>1.24</v>
      </c>
      <c r="K66" s="7" t="n">
        <v>1</v>
      </c>
      <c r="L66" s="9" t="n">
        <v>4</v>
      </c>
      <c r="M66" s="8" t="n">
        <v>657429.18</v>
      </c>
      <c r="N66" s="8" t="n">
        <v>88919.74</v>
      </c>
    </row>
    <row r="67" customFormat="false" ht="15" hidden="false" customHeight="false" outlineLevel="0" collapsed="false">
      <c r="A67" s="4" t="s">
        <v>38</v>
      </c>
      <c r="B67" s="4" t="s">
        <v>22</v>
      </c>
      <c r="C67" s="4" t="s">
        <v>18</v>
      </c>
      <c r="D67" s="4" t="s">
        <v>34</v>
      </c>
      <c r="E67" s="5" t="n">
        <v>64882.14</v>
      </c>
      <c r="F67" s="4" t="n">
        <v>3642</v>
      </c>
      <c r="G67" s="4" t="n">
        <v>0.019</v>
      </c>
      <c r="H67" s="4" t="n">
        <v>13</v>
      </c>
      <c r="I67" s="4" t="n">
        <v>87.8</v>
      </c>
      <c r="J67" s="6" t="n">
        <v>4.52</v>
      </c>
      <c r="K67" s="4" t="n">
        <v>0</v>
      </c>
      <c r="L67" s="6" t="n">
        <v>4.2</v>
      </c>
      <c r="M67" s="5" t="n">
        <v>605178</v>
      </c>
      <c r="N67" s="5" t="n">
        <v>106958.74</v>
      </c>
    </row>
    <row r="68" customFormat="false" ht="15" hidden="false" customHeight="false" outlineLevel="0" collapsed="false">
      <c r="A68" s="7" t="s">
        <v>39</v>
      </c>
      <c r="B68" s="7" t="s">
        <v>17</v>
      </c>
      <c r="C68" s="7" t="s">
        <v>33</v>
      </c>
      <c r="D68" s="7" t="s">
        <v>19</v>
      </c>
      <c r="E68" s="8" t="n">
        <v>138855.51</v>
      </c>
      <c r="F68" s="7" t="n">
        <v>5145</v>
      </c>
      <c r="G68" s="7" t="n">
        <v>0.06</v>
      </c>
      <c r="H68" s="7" t="n">
        <v>17</v>
      </c>
      <c r="I68" s="7" t="n">
        <v>88.2</v>
      </c>
      <c r="J68" s="9" t="n">
        <v>9.58</v>
      </c>
      <c r="K68" s="7" t="n">
        <v>0</v>
      </c>
      <c r="L68" s="9" t="n">
        <v>3.2</v>
      </c>
      <c r="M68" s="8" t="n">
        <v>595467.6</v>
      </c>
      <c r="N68" s="8" t="n">
        <v>104276.46</v>
      </c>
    </row>
    <row r="69" customFormat="false" ht="15" hidden="false" customHeight="false" outlineLevel="0" collapsed="false">
      <c r="A69" s="4" t="s">
        <v>39</v>
      </c>
      <c r="B69" s="4" t="s">
        <v>20</v>
      </c>
      <c r="C69" s="4" t="s">
        <v>33</v>
      </c>
      <c r="D69" s="4" t="s">
        <v>19</v>
      </c>
      <c r="E69" s="5" t="n">
        <v>63630.21</v>
      </c>
      <c r="F69" s="4" t="n">
        <v>4460</v>
      </c>
      <c r="G69" s="4" t="n">
        <v>0.235</v>
      </c>
      <c r="H69" s="4" t="n">
        <v>14</v>
      </c>
      <c r="I69" s="4" t="n">
        <v>98.6</v>
      </c>
      <c r="J69" s="6" t="n">
        <v>5.52</v>
      </c>
      <c r="K69" s="4" t="n">
        <v>0</v>
      </c>
      <c r="L69" s="6" t="n">
        <v>3.5</v>
      </c>
      <c r="M69" s="5" t="n">
        <v>599603.4</v>
      </c>
      <c r="N69" s="5" t="n">
        <v>112685.12</v>
      </c>
    </row>
    <row r="70" customFormat="false" ht="15" hidden="false" customHeight="false" outlineLevel="0" collapsed="false">
      <c r="A70" s="7" t="s">
        <v>39</v>
      </c>
      <c r="B70" s="7" t="s">
        <v>21</v>
      </c>
      <c r="C70" s="7" t="s">
        <v>33</v>
      </c>
      <c r="D70" s="7" t="s">
        <v>19</v>
      </c>
      <c r="E70" s="8" t="n">
        <v>50043.65</v>
      </c>
      <c r="F70" s="7" t="n">
        <v>3804</v>
      </c>
      <c r="G70" s="7" t="n">
        <v>0.113</v>
      </c>
      <c r="H70" s="7" t="n">
        <v>11</v>
      </c>
      <c r="I70" s="7" t="n">
        <v>90.9</v>
      </c>
      <c r="J70" s="9" t="n">
        <v>2.7</v>
      </c>
      <c r="K70" s="7" t="n">
        <v>1</v>
      </c>
      <c r="L70" s="9" t="n">
        <v>3.2</v>
      </c>
      <c r="M70" s="8" t="n">
        <v>614800.09</v>
      </c>
      <c r="N70" s="8" t="n">
        <v>100044.2</v>
      </c>
    </row>
    <row r="71" customFormat="false" ht="15" hidden="false" customHeight="false" outlineLevel="0" collapsed="false">
      <c r="A71" s="4" t="s">
        <v>39</v>
      </c>
      <c r="B71" s="4" t="s">
        <v>22</v>
      </c>
      <c r="C71" s="4" t="s">
        <v>33</v>
      </c>
      <c r="D71" s="4" t="s">
        <v>19</v>
      </c>
      <c r="E71" s="5" t="n">
        <v>42093.84</v>
      </c>
      <c r="F71" s="4" t="n">
        <v>4074</v>
      </c>
      <c r="G71" s="4" t="n">
        <v>0.155</v>
      </c>
      <c r="H71" s="4" t="n">
        <v>15</v>
      </c>
      <c r="I71" s="4" t="n">
        <v>88</v>
      </c>
      <c r="J71" s="6" t="n">
        <v>9.64</v>
      </c>
      <c r="K71" s="4" t="n">
        <v>0</v>
      </c>
      <c r="L71" s="6" t="n">
        <v>3.3</v>
      </c>
      <c r="M71" s="5" t="n">
        <v>585365.73</v>
      </c>
      <c r="N71" s="5" t="n">
        <v>81011.52</v>
      </c>
    </row>
    <row r="72" customFormat="false" ht="15" hidden="false" customHeight="false" outlineLevel="0" collapsed="false">
      <c r="A72" s="7" t="s">
        <v>40</v>
      </c>
      <c r="B72" s="7" t="s">
        <v>17</v>
      </c>
      <c r="C72" s="7" t="s">
        <v>26</v>
      </c>
      <c r="D72" s="7" t="s">
        <v>34</v>
      </c>
      <c r="E72" s="8" t="n">
        <v>46624.05</v>
      </c>
      <c r="F72" s="7" t="n">
        <v>5104</v>
      </c>
      <c r="G72" s="7" t="n">
        <v>0.109</v>
      </c>
      <c r="H72" s="7" t="n">
        <v>11</v>
      </c>
      <c r="I72" s="7" t="n">
        <v>97.3</v>
      </c>
      <c r="J72" s="9" t="n">
        <v>3.49</v>
      </c>
      <c r="K72" s="7" t="n">
        <v>1</v>
      </c>
      <c r="L72" s="9" t="n">
        <v>4.7</v>
      </c>
      <c r="M72" s="8" t="n">
        <v>622811.74</v>
      </c>
      <c r="N72" s="8" t="n">
        <v>109978.35</v>
      </c>
    </row>
    <row r="73" customFormat="false" ht="15" hidden="false" customHeight="false" outlineLevel="0" collapsed="false">
      <c r="A73" s="4" t="s">
        <v>40</v>
      </c>
      <c r="B73" s="4" t="s">
        <v>20</v>
      </c>
      <c r="C73" s="4" t="s">
        <v>26</v>
      </c>
      <c r="D73" s="4" t="s">
        <v>34</v>
      </c>
      <c r="E73" s="5" t="n">
        <v>49710.29</v>
      </c>
      <c r="F73" s="4" t="n">
        <v>5559</v>
      </c>
      <c r="G73" s="4" t="n">
        <v>0.218</v>
      </c>
      <c r="H73" s="4" t="n">
        <v>14</v>
      </c>
      <c r="I73" s="4" t="n">
        <v>71</v>
      </c>
      <c r="J73" s="6" t="n">
        <v>9.11</v>
      </c>
      <c r="K73" s="4" t="n">
        <v>0</v>
      </c>
      <c r="L73" s="6" t="n">
        <v>4.6</v>
      </c>
      <c r="M73" s="5" t="n">
        <v>603297.57</v>
      </c>
      <c r="N73" s="5" t="n">
        <v>60592.26</v>
      </c>
    </row>
    <row r="74" customFormat="false" ht="15" hidden="false" customHeight="false" outlineLevel="0" collapsed="false">
      <c r="A74" s="7" t="s">
        <v>40</v>
      </c>
      <c r="B74" s="7" t="s">
        <v>21</v>
      </c>
      <c r="C74" s="7" t="s">
        <v>26</v>
      </c>
      <c r="D74" s="7" t="s">
        <v>34</v>
      </c>
      <c r="E74" s="8" t="n">
        <v>48287.85</v>
      </c>
      <c r="F74" s="7" t="n">
        <v>5150</v>
      </c>
      <c r="G74" s="7" t="n">
        <v>0.008</v>
      </c>
      <c r="H74" s="7" t="n">
        <v>12</v>
      </c>
      <c r="I74" s="7" t="n">
        <v>80.4</v>
      </c>
      <c r="J74" s="9" t="n">
        <v>7.4</v>
      </c>
      <c r="K74" s="7" t="n">
        <v>0</v>
      </c>
      <c r="L74" s="9" t="n">
        <v>4.5</v>
      </c>
      <c r="M74" s="8" t="n">
        <v>625672.86</v>
      </c>
      <c r="N74" s="8" t="n">
        <v>118020.12</v>
      </c>
    </row>
    <row r="75" customFormat="false" ht="15" hidden="false" customHeight="false" outlineLevel="0" collapsed="false">
      <c r="A75" s="4" t="s">
        <v>40</v>
      </c>
      <c r="B75" s="4" t="s">
        <v>22</v>
      </c>
      <c r="C75" s="4" t="s">
        <v>26</v>
      </c>
      <c r="D75" s="4" t="s">
        <v>34</v>
      </c>
      <c r="E75" s="5" t="n">
        <v>65312.49</v>
      </c>
      <c r="F75" s="4" t="n">
        <v>7189</v>
      </c>
      <c r="G75" s="4" t="n">
        <v>0.05</v>
      </c>
      <c r="H75" s="4" t="n">
        <v>19</v>
      </c>
      <c r="I75" s="4" t="n">
        <v>93.7</v>
      </c>
      <c r="J75" s="6" t="n">
        <v>7.16</v>
      </c>
      <c r="K75" s="4" t="n">
        <v>0</v>
      </c>
      <c r="L75" s="6" t="n">
        <v>4.6</v>
      </c>
      <c r="M75" s="5" t="n">
        <v>773815.14</v>
      </c>
      <c r="N75" s="5" t="n">
        <v>133948.39</v>
      </c>
    </row>
    <row r="76" customFormat="false" ht="15" hidden="false" customHeight="false" outlineLevel="0" collapsed="false">
      <c r="A76" s="7" t="s">
        <v>41</v>
      </c>
      <c r="B76" s="7" t="s">
        <v>17</v>
      </c>
      <c r="C76" s="7" t="s">
        <v>33</v>
      </c>
      <c r="D76" s="7" t="s">
        <v>24</v>
      </c>
      <c r="E76" s="8" t="n">
        <v>53015.46</v>
      </c>
      <c r="F76" s="7" t="n">
        <v>3279</v>
      </c>
      <c r="G76" s="7" t="n">
        <v>0.087</v>
      </c>
      <c r="H76" s="7" t="n">
        <v>9</v>
      </c>
      <c r="I76" s="7" t="n">
        <v>84.3</v>
      </c>
      <c r="J76" s="9" t="n">
        <v>22.02</v>
      </c>
      <c r="K76" s="7" t="n">
        <v>0</v>
      </c>
      <c r="L76" s="9" t="n">
        <v>3.9</v>
      </c>
      <c r="M76" s="8" t="n">
        <v>463534.25</v>
      </c>
      <c r="N76" s="8" t="n">
        <v>81834.54</v>
      </c>
    </row>
    <row r="77" customFormat="false" ht="15" hidden="false" customHeight="false" outlineLevel="0" collapsed="false">
      <c r="A77" s="4" t="s">
        <v>41</v>
      </c>
      <c r="B77" s="4" t="s">
        <v>20</v>
      </c>
      <c r="C77" s="4" t="s">
        <v>33</v>
      </c>
      <c r="D77" s="4" t="s">
        <v>24</v>
      </c>
      <c r="E77" s="5" t="n">
        <v>99874.01</v>
      </c>
      <c r="F77" s="4" t="n">
        <v>5887</v>
      </c>
      <c r="G77" s="4" t="n">
        <v>0.262</v>
      </c>
      <c r="H77" s="4" t="n">
        <v>14</v>
      </c>
      <c r="I77" s="4" t="n">
        <v>88.7</v>
      </c>
      <c r="J77" s="6" t="n">
        <v>6.18</v>
      </c>
      <c r="K77" s="4" t="n">
        <v>0</v>
      </c>
      <c r="L77" s="6" t="n">
        <v>4.7</v>
      </c>
      <c r="M77" s="5" t="n">
        <v>746677.75</v>
      </c>
      <c r="N77" s="5" t="n">
        <v>122437.84</v>
      </c>
    </row>
    <row r="78" customFormat="false" ht="15" hidden="false" customHeight="false" outlineLevel="0" collapsed="false">
      <c r="A78" s="7" t="s">
        <v>41</v>
      </c>
      <c r="B78" s="7" t="s">
        <v>21</v>
      </c>
      <c r="C78" s="7" t="s">
        <v>33</v>
      </c>
      <c r="D78" s="7" t="s">
        <v>24</v>
      </c>
      <c r="E78" s="8" t="n">
        <v>81195.5</v>
      </c>
      <c r="F78" s="7" t="n">
        <v>5516</v>
      </c>
      <c r="G78" s="7" t="n">
        <v>0.106</v>
      </c>
      <c r="H78" s="7" t="n">
        <v>14</v>
      </c>
      <c r="I78" s="7" t="n">
        <v>88</v>
      </c>
      <c r="J78" s="9" t="n">
        <v>1.76</v>
      </c>
      <c r="K78" s="7" t="n">
        <v>0</v>
      </c>
      <c r="L78" s="9" t="n">
        <v>4.3</v>
      </c>
      <c r="M78" s="8" t="n">
        <v>720852.5</v>
      </c>
      <c r="N78" s="8" t="n">
        <v>98565.62</v>
      </c>
    </row>
    <row r="79" customFormat="false" ht="15" hidden="false" customHeight="false" outlineLevel="0" collapsed="false">
      <c r="A79" s="4" t="s">
        <v>41</v>
      </c>
      <c r="B79" s="4" t="s">
        <v>22</v>
      </c>
      <c r="C79" s="4" t="s">
        <v>33</v>
      </c>
      <c r="D79" s="4" t="s">
        <v>24</v>
      </c>
      <c r="E79" s="5" t="n">
        <v>27808.6</v>
      </c>
      <c r="F79" s="4" t="n">
        <v>2863</v>
      </c>
      <c r="G79" s="4" t="n">
        <v>0.08</v>
      </c>
      <c r="H79" s="4" t="n">
        <v>13</v>
      </c>
      <c r="I79" s="4" t="n">
        <v>89.3</v>
      </c>
      <c r="J79" s="6" t="n">
        <v>0.47</v>
      </c>
      <c r="K79" s="4" t="n">
        <v>0</v>
      </c>
      <c r="L79" s="6" t="n">
        <v>4.1</v>
      </c>
      <c r="M79" s="5" t="n">
        <v>487464.91</v>
      </c>
      <c r="N79" s="5" t="n">
        <v>64562.26</v>
      </c>
    </row>
    <row r="80" customFormat="false" ht="15" hidden="false" customHeight="false" outlineLevel="0" collapsed="false">
      <c r="A80" s="7" t="s">
        <v>42</v>
      </c>
      <c r="B80" s="7" t="s">
        <v>17</v>
      </c>
      <c r="C80" s="7" t="s">
        <v>18</v>
      </c>
      <c r="D80" s="7" t="s">
        <v>27</v>
      </c>
      <c r="E80" s="8" t="n">
        <v>19365.06</v>
      </c>
      <c r="F80" s="7" t="n">
        <v>2378</v>
      </c>
      <c r="G80" s="7" t="n">
        <v>0</v>
      </c>
      <c r="H80" s="7" t="n">
        <v>12</v>
      </c>
      <c r="I80" s="7" t="n">
        <v>94.8</v>
      </c>
      <c r="J80" s="9" t="n">
        <v>0.2</v>
      </c>
      <c r="K80" s="7" t="n">
        <v>0</v>
      </c>
      <c r="L80" s="9" t="n">
        <v>3.5</v>
      </c>
      <c r="M80" s="8" t="n">
        <v>518049.26</v>
      </c>
      <c r="N80" s="8" t="n">
        <v>108592.49</v>
      </c>
    </row>
    <row r="81" customFormat="false" ht="15" hidden="false" customHeight="false" outlineLevel="0" collapsed="false">
      <c r="A81" s="4" t="s">
        <v>42</v>
      </c>
      <c r="B81" s="4" t="s">
        <v>20</v>
      </c>
      <c r="C81" s="4" t="s">
        <v>18</v>
      </c>
      <c r="D81" s="4" t="s">
        <v>27</v>
      </c>
      <c r="E81" s="5" t="n">
        <v>59405.68</v>
      </c>
      <c r="F81" s="4" t="n">
        <v>2515</v>
      </c>
      <c r="G81" s="4" t="n">
        <v>0.039</v>
      </c>
      <c r="H81" s="4" t="n">
        <v>12</v>
      </c>
      <c r="I81" s="4" t="n">
        <v>76</v>
      </c>
      <c r="J81" s="6" t="n">
        <v>5.11</v>
      </c>
      <c r="K81" s="4" t="n">
        <v>0</v>
      </c>
      <c r="L81" s="6" t="n">
        <v>3.7</v>
      </c>
      <c r="M81" s="5" t="n">
        <v>500298.48</v>
      </c>
      <c r="N81" s="5" t="n">
        <v>73461.32</v>
      </c>
    </row>
    <row r="82" customFormat="false" ht="15" hidden="false" customHeight="false" outlineLevel="0" collapsed="false">
      <c r="A82" s="7" t="s">
        <v>42</v>
      </c>
      <c r="B82" s="7" t="s">
        <v>21</v>
      </c>
      <c r="C82" s="7" t="s">
        <v>18</v>
      </c>
      <c r="D82" s="7" t="s">
        <v>27</v>
      </c>
      <c r="E82" s="8" t="n">
        <v>118910.48</v>
      </c>
      <c r="F82" s="7" t="n">
        <v>4022</v>
      </c>
      <c r="G82" s="7" t="n">
        <v>0.137</v>
      </c>
      <c r="H82" s="7" t="n">
        <v>11</v>
      </c>
      <c r="I82" s="7" t="n">
        <v>87.1</v>
      </c>
      <c r="J82" s="9" t="n">
        <v>0.2</v>
      </c>
      <c r="K82" s="7" t="n">
        <v>0</v>
      </c>
      <c r="L82" s="9" t="n">
        <v>3.1</v>
      </c>
      <c r="M82" s="8" t="n">
        <v>617291.15</v>
      </c>
      <c r="N82" s="8" t="n">
        <v>117782</v>
      </c>
    </row>
    <row r="83" customFormat="false" ht="15" hidden="false" customHeight="false" outlineLevel="0" collapsed="false">
      <c r="A83" s="4" t="s">
        <v>42</v>
      </c>
      <c r="B83" s="4" t="s">
        <v>22</v>
      </c>
      <c r="C83" s="4" t="s">
        <v>18</v>
      </c>
      <c r="D83" s="4" t="s">
        <v>27</v>
      </c>
      <c r="E83" s="5" t="n">
        <v>52952.12</v>
      </c>
      <c r="F83" s="4" t="n">
        <v>4377</v>
      </c>
      <c r="G83" s="4" t="n">
        <v>0.092</v>
      </c>
      <c r="H83" s="4" t="n">
        <v>14</v>
      </c>
      <c r="I83" s="4" t="n">
        <v>88.6</v>
      </c>
      <c r="J83" s="6" t="n">
        <v>13.59</v>
      </c>
      <c r="K83" s="4" t="n">
        <v>0</v>
      </c>
      <c r="L83" s="6" t="n">
        <v>3.1</v>
      </c>
      <c r="M83" s="5" t="n">
        <v>553756.43</v>
      </c>
      <c r="N83" s="5" t="n">
        <v>86166.77</v>
      </c>
    </row>
    <row r="84" customFormat="false" ht="15" hidden="false" customHeight="false" outlineLevel="0" collapsed="false">
      <c r="A84" s="7" t="s">
        <v>43</v>
      </c>
      <c r="B84" s="7" t="s">
        <v>17</v>
      </c>
      <c r="C84" s="7" t="s">
        <v>30</v>
      </c>
      <c r="D84" s="7" t="s">
        <v>24</v>
      </c>
      <c r="E84" s="8" t="n">
        <v>74907.98</v>
      </c>
      <c r="F84" s="7" t="n">
        <v>5306</v>
      </c>
      <c r="G84" s="7" t="n">
        <v>0.062</v>
      </c>
      <c r="H84" s="7" t="n">
        <v>16</v>
      </c>
      <c r="I84" s="7" t="n">
        <v>95.6</v>
      </c>
      <c r="J84" s="9" t="n">
        <v>1.02</v>
      </c>
      <c r="K84" s="7" t="n">
        <v>0</v>
      </c>
      <c r="L84" s="9" t="n">
        <v>3.7</v>
      </c>
      <c r="M84" s="8" t="n">
        <v>749559.71</v>
      </c>
      <c r="N84" s="8" t="n">
        <v>144522.53</v>
      </c>
    </row>
    <row r="85" customFormat="false" ht="15" hidden="false" customHeight="false" outlineLevel="0" collapsed="false">
      <c r="A85" s="4" t="s">
        <v>43</v>
      </c>
      <c r="B85" s="4" t="s">
        <v>20</v>
      </c>
      <c r="C85" s="4" t="s">
        <v>30</v>
      </c>
      <c r="D85" s="4" t="s">
        <v>24</v>
      </c>
      <c r="E85" s="5" t="n">
        <v>37284.66</v>
      </c>
      <c r="F85" s="4" t="n">
        <v>3928</v>
      </c>
      <c r="G85" s="4" t="n">
        <v>0.074</v>
      </c>
      <c r="H85" s="4" t="n">
        <v>12</v>
      </c>
      <c r="I85" s="4" t="n">
        <v>86.5</v>
      </c>
      <c r="J85" s="6" t="n">
        <v>1.64</v>
      </c>
      <c r="K85" s="4" t="n">
        <v>0</v>
      </c>
      <c r="L85" s="6" t="n">
        <v>3.8</v>
      </c>
      <c r="M85" s="5" t="n">
        <v>615966.48</v>
      </c>
      <c r="N85" s="5" t="n">
        <v>91509.38</v>
      </c>
    </row>
    <row r="86" customFormat="false" ht="15" hidden="false" customHeight="false" outlineLevel="0" collapsed="false">
      <c r="A86" s="7" t="s">
        <v>43</v>
      </c>
      <c r="B86" s="7" t="s">
        <v>21</v>
      </c>
      <c r="C86" s="7" t="s">
        <v>30</v>
      </c>
      <c r="D86" s="7" t="s">
        <v>24</v>
      </c>
      <c r="E86" s="8" t="n">
        <v>50343.19</v>
      </c>
      <c r="F86" s="7" t="n">
        <v>3845</v>
      </c>
      <c r="G86" s="7" t="n">
        <v>0.113</v>
      </c>
      <c r="H86" s="7" t="n">
        <v>9</v>
      </c>
      <c r="I86" s="7" t="n">
        <v>88.7</v>
      </c>
      <c r="J86" s="9" t="n">
        <v>5.15</v>
      </c>
      <c r="K86" s="7" t="n">
        <v>0</v>
      </c>
      <c r="L86" s="9" t="n">
        <v>3.3</v>
      </c>
      <c r="M86" s="8" t="n">
        <v>572011.2</v>
      </c>
      <c r="N86" s="8" t="n">
        <v>101409.68</v>
      </c>
    </row>
    <row r="87" customFormat="false" ht="15" hidden="false" customHeight="false" outlineLevel="0" collapsed="false">
      <c r="A87" s="4" t="s">
        <v>43</v>
      </c>
      <c r="B87" s="4" t="s">
        <v>22</v>
      </c>
      <c r="C87" s="4" t="s">
        <v>30</v>
      </c>
      <c r="D87" s="4" t="s">
        <v>24</v>
      </c>
      <c r="E87" s="5" t="n">
        <v>74954.47</v>
      </c>
      <c r="F87" s="4" t="n">
        <v>6620</v>
      </c>
      <c r="G87" s="4" t="n">
        <v>0.054</v>
      </c>
      <c r="H87" s="4" t="n">
        <v>17</v>
      </c>
      <c r="I87" s="4" t="n">
        <v>91.1</v>
      </c>
      <c r="J87" s="6" t="n">
        <v>1.11</v>
      </c>
      <c r="K87" s="4" t="n">
        <v>0</v>
      </c>
      <c r="L87" s="6" t="n">
        <v>3.5</v>
      </c>
      <c r="M87" s="5" t="n">
        <v>761860.19</v>
      </c>
      <c r="N87" s="5" t="n">
        <v>133279.38</v>
      </c>
    </row>
    <row r="88" customFormat="false" ht="15" hidden="false" customHeight="false" outlineLevel="0" collapsed="false">
      <c r="A88" s="7" t="s">
        <v>44</v>
      </c>
      <c r="B88" s="7" t="s">
        <v>17</v>
      </c>
      <c r="C88" s="7" t="s">
        <v>33</v>
      </c>
      <c r="D88" s="7" t="s">
        <v>24</v>
      </c>
      <c r="E88" s="8" t="n">
        <v>70040.31</v>
      </c>
      <c r="F88" s="7" t="n">
        <v>9175</v>
      </c>
      <c r="G88" s="7" t="n">
        <v>0.107</v>
      </c>
      <c r="H88" s="7" t="n">
        <v>23</v>
      </c>
      <c r="I88" s="7" t="n">
        <v>95.1</v>
      </c>
      <c r="J88" s="9" t="n">
        <v>6.08</v>
      </c>
      <c r="K88" s="7" t="n">
        <v>1</v>
      </c>
      <c r="L88" s="9" t="n">
        <v>3.4</v>
      </c>
      <c r="M88" s="8" t="n">
        <v>784502.68</v>
      </c>
      <c r="N88" s="8" t="n">
        <v>129519.72</v>
      </c>
    </row>
    <row r="89" customFormat="false" ht="15" hidden="false" customHeight="false" outlineLevel="0" collapsed="false">
      <c r="A89" s="4" t="s">
        <v>44</v>
      </c>
      <c r="B89" s="4" t="s">
        <v>20</v>
      </c>
      <c r="C89" s="4" t="s">
        <v>33</v>
      </c>
      <c r="D89" s="4" t="s">
        <v>24</v>
      </c>
      <c r="E89" s="5" t="n">
        <v>51148.69</v>
      </c>
      <c r="F89" s="4" t="n">
        <v>7940</v>
      </c>
      <c r="G89" s="4" t="n">
        <v>0.156</v>
      </c>
      <c r="H89" s="4" t="n">
        <v>18</v>
      </c>
      <c r="I89" s="4" t="n">
        <v>93.3</v>
      </c>
      <c r="J89" s="6" t="n">
        <v>10.91</v>
      </c>
      <c r="K89" s="4" t="n">
        <v>0</v>
      </c>
      <c r="L89" s="6" t="n">
        <v>3.6</v>
      </c>
      <c r="M89" s="5" t="n">
        <v>717141.55</v>
      </c>
      <c r="N89" s="5" t="n">
        <v>134013.61</v>
      </c>
    </row>
    <row r="90" customFormat="false" ht="15" hidden="false" customHeight="false" outlineLevel="0" collapsed="false">
      <c r="A90" s="7" t="s">
        <v>44</v>
      </c>
      <c r="B90" s="7" t="s">
        <v>21</v>
      </c>
      <c r="C90" s="7" t="s">
        <v>33</v>
      </c>
      <c r="D90" s="7" t="s">
        <v>24</v>
      </c>
      <c r="E90" s="8" t="n">
        <v>79346.1</v>
      </c>
      <c r="F90" s="7" t="n">
        <v>9628</v>
      </c>
      <c r="G90" s="7" t="n">
        <v>0.102</v>
      </c>
      <c r="H90" s="7" t="n">
        <v>20</v>
      </c>
      <c r="I90" s="7" t="n">
        <v>99</v>
      </c>
      <c r="J90" s="9" t="n">
        <v>19.01</v>
      </c>
      <c r="K90" s="7" t="n">
        <v>1</v>
      </c>
      <c r="L90" s="9" t="n">
        <v>3.2</v>
      </c>
      <c r="M90" s="8" t="n">
        <v>685379.08</v>
      </c>
      <c r="N90" s="8" t="n">
        <v>106898.82</v>
      </c>
    </row>
    <row r="91" customFormat="false" ht="15" hidden="false" customHeight="false" outlineLevel="0" collapsed="false">
      <c r="A91" s="4" t="s">
        <v>44</v>
      </c>
      <c r="B91" s="4" t="s">
        <v>22</v>
      </c>
      <c r="C91" s="4" t="s">
        <v>33</v>
      </c>
      <c r="D91" s="4" t="s">
        <v>24</v>
      </c>
      <c r="E91" s="5" t="n">
        <v>42018.4</v>
      </c>
      <c r="F91" s="4" t="n">
        <v>8296</v>
      </c>
      <c r="G91" s="4" t="n">
        <v>0.115</v>
      </c>
      <c r="H91" s="4" t="n">
        <v>17</v>
      </c>
      <c r="I91" s="4" t="n">
        <v>91.8</v>
      </c>
      <c r="J91" s="6" t="n">
        <v>0.77</v>
      </c>
      <c r="K91" s="4" t="n">
        <v>0</v>
      </c>
      <c r="L91" s="6" t="n">
        <v>3.4</v>
      </c>
      <c r="M91" s="5" t="n">
        <v>740496.65</v>
      </c>
      <c r="N91" s="5" t="n">
        <v>128020.9</v>
      </c>
    </row>
    <row r="92" customFormat="false" ht="15" hidden="false" customHeight="false" outlineLevel="0" collapsed="false">
      <c r="A92" s="7" t="s">
        <v>45</v>
      </c>
      <c r="B92" s="7" t="s">
        <v>17</v>
      </c>
      <c r="C92" s="7" t="s">
        <v>18</v>
      </c>
      <c r="D92" s="7" t="s">
        <v>24</v>
      </c>
      <c r="E92" s="8" t="n">
        <v>70937.24</v>
      </c>
      <c r="F92" s="7" t="n">
        <v>3595</v>
      </c>
      <c r="G92" s="7" t="n">
        <v>0.141</v>
      </c>
      <c r="H92" s="7" t="n">
        <v>11</v>
      </c>
      <c r="I92" s="7" t="n">
        <v>88.9</v>
      </c>
      <c r="J92" s="9" t="n">
        <v>2.83</v>
      </c>
      <c r="K92" s="7" t="n">
        <v>1</v>
      </c>
      <c r="L92" s="9" t="n">
        <v>3.3</v>
      </c>
      <c r="M92" s="8" t="n">
        <v>661927.14</v>
      </c>
      <c r="N92" s="8" t="n">
        <v>79218.57</v>
      </c>
    </row>
    <row r="93" customFormat="false" ht="15" hidden="false" customHeight="false" outlineLevel="0" collapsed="false">
      <c r="A93" s="4" t="s">
        <v>45</v>
      </c>
      <c r="B93" s="4" t="s">
        <v>20</v>
      </c>
      <c r="C93" s="4" t="s">
        <v>18</v>
      </c>
      <c r="D93" s="4" t="s">
        <v>24</v>
      </c>
      <c r="E93" s="5" t="n">
        <v>36813.45</v>
      </c>
      <c r="F93" s="4" t="n">
        <v>2834</v>
      </c>
      <c r="G93" s="4" t="n">
        <v>0.191</v>
      </c>
      <c r="H93" s="4" t="n">
        <v>11</v>
      </c>
      <c r="I93" s="4" t="n">
        <v>81.8</v>
      </c>
      <c r="J93" s="6" t="n">
        <v>2.33</v>
      </c>
      <c r="K93" s="4" t="n">
        <v>0</v>
      </c>
      <c r="L93" s="6" t="n">
        <v>3.3</v>
      </c>
      <c r="M93" s="5" t="n">
        <v>479050.5</v>
      </c>
      <c r="N93" s="5" t="n">
        <v>53651.11</v>
      </c>
    </row>
    <row r="94" customFormat="false" ht="15" hidden="false" customHeight="false" outlineLevel="0" collapsed="false">
      <c r="A94" s="7" t="s">
        <v>45</v>
      </c>
      <c r="B94" s="7" t="s">
        <v>21</v>
      </c>
      <c r="C94" s="7" t="s">
        <v>18</v>
      </c>
      <c r="D94" s="7" t="s">
        <v>24</v>
      </c>
      <c r="E94" s="8" t="n">
        <v>60571.82</v>
      </c>
      <c r="F94" s="7" t="n">
        <v>3193</v>
      </c>
      <c r="G94" s="7" t="n">
        <v>0.197</v>
      </c>
      <c r="H94" s="7" t="n">
        <v>7</v>
      </c>
      <c r="I94" s="7" t="n">
        <v>99</v>
      </c>
      <c r="J94" s="9" t="n">
        <v>1.43</v>
      </c>
      <c r="K94" s="7" t="n">
        <v>0</v>
      </c>
      <c r="L94" s="9" t="n">
        <v>3.2</v>
      </c>
      <c r="M94" s="8" t="n">
        <v>605023.87</v>
      </c>
      <c r="N94" s="8" t="n">
        <v>98545.81</v>
      </c>
    </row>
    <row r="95" customFormat="false" ht="15" hidden="false" customHeight="false" outlineLevel="0" collapsed="false">
      <c r="A95" s="4" t="s">
        <v>45</v>
      </c>
      <c r="B95" s="4" t="s">
        <v>22</v>
      </c>
      <c r="C95" s="4" t="s">
        <v>18</v>
      </c>
      <c r="D95" s="4" t="s">
        <v>24</v>
      </c>
      <c r="E95" s="5" t="n">
        <v>55081.16</v>
      </c>
      <c r="F95" s="4" t="n">
        <v>5485</v>
      </c>
      <c r="G95" s="4" t="n">
        <v>0.036</v>
      </c>
      <c r="H95" s="4" t="n">
        <v>12</v>
      </c>
      <c r="I95" s="4" t="n">
        <v>88</v>
      </c>
      <c r="J95" s="6" t="n">
        <v>2.705</v>
      </c>
      <c r="K95" s="4" t="n">
        <v>0</v>
      </c>
      <c r="L95" s="6" t="n">
        <v>3.5</v>
      </c>
      <c r="M95" s="5" t="n">
        <v>674774.09</v>
      </c>
      <c r="N95" s="5" t="n">
        <v>141917.59</v>
      </c>
    </row>
    <row r="96" customFormat="false" ht="15" hidden="false" customHeight="false" outlineLevel="0" collapsed="false">
      <c r="A96" s="7" t="s">
        <v>46</v>
      </c>
      <c r="B96" s="7" t="s">
        <v>17</v>
      </c>
      <c r="C96" s="7" t="s">
        <v>18</v>
      </c>
      <c r="D96" s="7" t="s">
        <v>19</v>
      </c>
      <c r="E96" s="8" t="n">
        <v>46201.46</v>
      </c>
      <c r="F96" s="7" t="n">
        <v>5918</v>
      </c>
      <c r="G96" s="7" t="n">
        <v>0.277</v>
      </c>
      <c r="H96" s="7" t="n">
        <v>13</v>
      </c>
      <c r="I96" s="7" t="n">
        <v>78.8</v>
      </c>
      <c r="J96" s="9" t="n">
        <v>4.91</v>
      </c>
      <c r="K96" s="7" t="n">
        <v>0</v>
      </c>
      <c r="L96" s="9" t="n">
        <v>4.5</v>
      </c>
      <c r="M96" s="8" t="n">
        <v>616069.41</v>
      </c>
      <c r="N96" s="8" t="n">
        <v>54453.99</v>
      </c>
    </row>
    <row r="97" customFormat="false" ht="15" hidden="false" customHeight="false" outlineLevel="0" collapsed="false">
      <c r="A97" s="4" t="s">
        <v>46</v>
      </c>
      <c r="B97" s="4" t="s">
        <v>20</v>
      </c>
      <c r="C97" s="4" t="s">
        <v>18</v>
      </c>
      <c r="D97" s="4" t="s">
        <v>19</v>
      </c>
      <c r="E97" s="5" t="n">
        <v>53762.92</v>
      </c>
      <c r="F97" s="4" t="n">
        <v>6821</v>
      </c>
      <c r="G97" s="4" t="n">
        <v>0.066</v>
      </c>
      <c r="H97" s="4" t="n">
        <v>19</v>
      </c>
      <c r="I97" s="4" t="n">
        <v>94.6</v>
      </c>
      <c r="J97" s="6" t="n">
        <v>7.03</v>
      </c>
      <c r="K97" s="4" t="n">
        <v>0</v>
      </c>
      <c r="L97" s="6" t="n">
        <v>4.4</v>
      </c>
      <c r="M97" s="5" t="n">
        <v>630829.94</v>
      </c>
      <c r="N97" s="5" t="n">
        <v>117090.02</v>
      </c>
    </row>
    <row r="98" customFormat="false" ht="15" hidden="false" customHeight="false" outlineLevel="0" collapsed="false">
      <c r="A98" s="7" t="s">
        <v>46</v>
      </c>
      <c r="B98" s="7" t="s">
        <v>21</v>
      </c>
      <c r="C98" s="7" t="s">
        <v>18</v>
      </c>
      <c r="D98" s="7" t="s">
        <v>19</v>
      </c>
      <c r="E98" s="8" t="n">
        <v>70144.78</v>
      </c>
      <c r="F98" s="7" t="n">
        <v>6806</v>
      </c>
      <c r="G98" s="7" t="n">
        <v>0.178</v>
      </c>
      <c r="H98" s="7" t="n">
        <v>20</v>
      </c>
      <c r="I98" s="7" t="n">
        <v>93.1</v>
      </c>
      <c r="J98" s="9" t="n">
        <v>0.28</v>
      </c>
      <c r="K98" s="7" t="n">
        <v>1</v>
      </c>
      <c r="L98" s="9" t="n">
        <v>4.3</v>
      </c>
      <c r="M98" s="8" t="n">
        <v>788087.68</v>
      </c>
      <c r="N98" s="8" t="n">
        <v>116803.42</v>
      </c>
    </row>
    <row r="99" customFormat="false" ht="15" hidden="false" customHeight="false" outlineLevel="0" collapsed="false">
      <c r="A99" s="4" t="s">
        <v>46</v>
      </c>
      <c r="B99" s="4" t="s">
        <v>22</v>
      </c>
      <c r="C99" s="4" t="s">
        <v>18</v>
      </c>
      <c r="D99" s="4" t="s">
        <v>19</v>
      </c>
      <c r="E99" s="5" t="n">
        <v>58749.63</v>
      </c>
      <c r="F99" s="4" t="n">
        <v>8252</v>
      </c>
      <c r="G99" s="4" t="n">
        <v>0.203</v>
      </c>
      <c r="H99" s="4" t="n">
        <v>20</v>
      </c>
      <c r="I99" s="4" t="n">
        <v>85.2</v>
      </c>
      <c r="J99" s="6" t="n">
        <v>3.61</v>
      </c>
      <c r="K99" s="4" t="n">
        <v>0</v>
      </c>
      <c r="L99" s="6" t="n">
        <v>4.5</v>
      </c>
      <c r="M99" s="5" t="n">
        <v>680840.36</v>
      </c>
      <c r="N99" s="5" t="n">
        <v>68007.68</v>
      </c>
    </row>
    <row r="100" customFormat="false" ht="15" hidden="false" customHeight="false" outlineLevel="0" collapsed="false">
      <c r="A100" s="7" t="s">
        <v>47</v>
      </c>
      <c r="B100" s="7" t="s">
        <v>17</v>
      </c>
      <c r="C100" s="7" t="s">
        <v>30</v>
      </c>
      <c r="D100" s="7" t="s">
        <v>24</v>
      </c>
      <c r="E100" s="8" t="n">
        <v>56973.18</v>
      </c>
      <c r="F100" s="7" t="n">
        <v>6662</v>
      </c>
      <c r="G100" s="7" t="n">
        <v>0.1</v>
      </c>
      <c r="H100" s="7" t="n">
        <v>15</v>
      </c>
      <c r="I100" s="7" t="n">
        <v>77.7</v>
      </c>
      <c r="J100" s="9" t="n">
        <v>7.52</v>
      </c>
      <c r="K100" s="7" t="n">
        <v>1</v>
      </c>
      <c r="L100" s="9" t="n">
        <v>3.2</v>
      </c>
      <c r="M100" s="8" t="n">
        <v>643657.47</v>
      </c>
      <c r="N100" s="8" t="n">
        <v>87022.45</v>
      </c>
    </row>
    <row r="101" customFormat="false" ht="15" hidden="false" customHeight="false" outlineLevel="0" collapsed="false">
      <c r="A101" s="4" t="s">
        <v>47</v>
      </c>
      <c r="B101" s="4" t="s">
        <v>20</v>
      </c>
      <c r="C101" s="4" t="s">
        <v>30</v>
      </c>
      <c r="D101" s="4" t="s">
        <v>24</v>
      </c>
      <c r="E101" s="5" t="n">
        <v>54872.82</v>
      </c>
      <c r="F101" s="4" t="n">
        <v>5962</v>
      </c>
      <c r="G101" s="4" t="n">
        <v>0.064</v>
      </c>
      <c r="H101" s="4" t="n">
        <v>12</v>
      </c>
      <c r="I101" s="4" t="n">
        <v>85.4</v>
      </c>
      <c r="J101" s="6" t="n">
        <v>2.58</v>
      </c>
      <c r="K101" s="4" t="n">
        <v>0</v>
      </c>
      <c r="L101" s="6" t="n">
        <v>2.9</v>
      </c>
      <c r="M101" s="5" t="n">
        <v>691112.6</v>
      </c>
      <c r="N101" s="5" t="n">
        <v>109212.83</v>
      </c>
    </row>
    <row r="102" customFormat="false" ht="15" hidden="false" customHeight="false" outlineLevel="0" collapsed="false">
      <c r="A102" s="7" t="s">
        <v>47</v>
      </c>
      <c r="B102" s="7" t="s">
        <v>21</v>
      </c>
      <c r="C102" s="7" t="s">
        <v>30</v>
      </c>
      <c r="D102" s="7" t="s">
        <v>24</v>
      </c>
      <c r="E102" s="8" t="n">
        <v>80562.81</v>
      </c>
      <c r="F102" s="7" t="n">
        <v>7470</v>
      </c>
      <c r="G102" s="7" t="n">
        <v>0.172</v>
      </c>
      <c r="H102" s="7" t="n">
        <v>16</v>
      </c>
      <c r="I102" s="7" t="n">
        <v>83.5</v>
      </c>
      <c r="J102" s="9" t="n">
        <v>2.29</v>
      </c>
      <c r="K102" s="7" t="n">
        <v>0</v>
      </c>
      <c r="L102" s="9" t="n">
        <v>3.3</v>
      </c>
      <c r="M102" s="8" t="n">
        <v>776922.17</v>
      </c>
      <c r="N102" s="8" t="n">
        <v>150701.93</v>
      </c>
    </row>
    <row r="103" customFormat="false" ht="15" hidden="false" customHeight="false" outlineLevel="0" collapsed="false">
      <c r="A103" s="4" t="s">
        <v>47</v>
      </c>
      <c r="B103" s="4" t="s">
        <v>22</v>
      </c>
      <c r="C103" s="4" t="s">
        <v>30</v>
      </c>
      <c r="D103" s="4" t="s">
        <v>24</v>
      </c>
      <c r="E103" s="5" t="n">
        <v>77999.9</v>
      </c>
      <c r="F103" s="4" t="n">
        <v>5974</v>
      </c>
      <c r="G103" s="4" t="n">
        <v>0.252</v>
      </c>
      <c r="H103" s="4" t="n">
        <v>14</v>
      </c>
      <c r="I103" s="4" t="n">
        <v>81.3</v>
      </c>
      <c r="J103" s="6" t="n">
        <v>2.39</v>
      </c>
      <c r="K103" s="4" t="n">
        <v>0</v>
      </c>
      <c r="L103" s="6" t="n">
        <v>3.2</v>
      </c>
      <c r="M103" s="5" t="n">
        <v>636561.34</v>
      </c>
      <c r="N103" s="5" t="n">
        <v>93861.06</v>
      </c>
    </row>
    <row r="104" customFormat="false" ht="15" hidden="false" customHeight="false" outlineLevel="0" collapsed="false">
      <c r="A104" s="7" t="s">
        <v>48</v>
      </c>
      <c r="B104" s="7" t="s">
        <v>17</v>
      </c>
      <c r="C104" s="7" t="s">
        <v>33</v>
      </c>
      <c r="D104" s="7" t="s">
        <v>34</v>
      </c>
      <c r="E104" s="8" t="n">
        <v>60881.01</v>
      </c>
      <c r="F104" s="7" t="n">
        <v>5410</v>
      </c>
      <c r="G104" s="7" t="n">
        <v>0.179</v>
      </c>
      <c r="H104" s="7" t="n">
        <v>15</v>
      </c>
      <c r="I104" s="7" t="n">
        <v>83.9</v>
      </c>
      <c r="J104" s="9" t="n">
        <v>5.24</v>
      </c>
      <c r="K104" s="7" t="n">
        <v>0</v>
      </c>
      <c r="L104" s="9" t="n">
        <v>4.6</v>
      </c>
      <c r="M104" s="8" t="n">
        <v>621369.58</v>
      </c>
      <c r="N104" s="8" t="n">
        <v>85493.64</v>
      </c>
    </row>
    <row r="105" customFormat="false" ht="15" hidden="false" customHeight="false" outlineLevel="0" collapsed="false">
      <c r="A105" s="4" t="s">
        <v>48</v>
      </c>
      <c r="B105" s="4" t="s">
        <v>20</v>
      </c>
      <c r="C105" s="4" t="s">
        <v>33</v>
      </c>
      <c r="D105" s="4" t="s">
        <v>34</v>
      </c>
      <c r="E105" s="5" t="n">
        <v>60628.38</v>
      </c>
      <c r="F105" s="4" t="n">
        <v>4451</v>
      </c>
      <c r="G105" s="4" t="n">
        <v>0.095</v>
      </c>
      <c r="H105" s="4" t="n">
        <v>10</v>
      </c>
      <c r="I105" s="4" t="n">
        <v>89.6</v>
      </c>
      <c r="J105" s="6" t="n">
        <v>3.17</v>
      </c>
      <c r="K105" s="4" t="n">
        <v>0</v>
      </c>
      <c r="L105" s="6" t="n">
        <v>4.6</v>
      </c>
      <c r="M105" s="5" t="n">
        <v>682208.01</v>
      </c>
      <c r="N105" s="5" t="n">
        <v>110318.84</v>
      </c>
    </row>
    <row r="106" customFormat="false" ht="15" hidden="false" customHeight="false" outlineLevel="0" collapsed="false">
      <c r="A106" s="7" t="s">
        <v>48</v>
      </c>
      <c r="B106" s="7" t="s">
        <v>21</v>
      </c>
      <c r="C106" s="7" t="s">
        <v>33</v>
      </c>
      <c r="D106" s="7" t="s">
        <v>34</v>
      </c>
      <c r="E106" s="8" t="n">
        <v>72731.14</v>
      </c>
      <c r="F106" s="7" t="n">
        <v>4644</v>
      </c>
      <c r="G106" s="7" t="n">
        <v>0.084</v>
      </c>
      <c r="H106" s="7" t="n">
        <v>15</v>
      </c>
      <c r="I106" s="7" t="n">
        <v>87.1</v>
      </c>
      <c r="J106" s="9" t="n">
        <v>2.66</v>
      </c>
      <c r="K106" s="7" t="n">
        <v>0</v>
      </c>
      <c r="L106" s="9" t="n">
        <v>4.6</v>
      </c>
      <c r="M106" s="8" t="n">
        <v>727241.86</v>
      </c>
      <c r="N106" s="8" t="n">
        <v>155810.3</v>
      </c>
    </row>
    <row r="107" customFormat="false" ht="15" hidden="false" customHeight="false" outlineLevel="0" collapsed="false">
      <c r="A107" s="4" t="s">
        <v>48</v>
      </c>
      <c r="B107" s="4" t="s">
        <v>22</v>
      </c>
      <c r="C107" s="4" t="s">
        <v>33</v>
      </c>
      <c r="D107" s="4" t="s">
        <v>34</v>
      </c>
      <c r="E107" s="5" t="n">
        <v>36475.71</v>
      </c>
      <c r="F107" s="4" t="n">
        <v>3559</v>
      </c>
      <c r="G107" s="4" t="n">
        <v>0.03</v>
      </c>
      <c r="H107" s="4" t="n">
        <v>8</v>
      </c>
      <c r="I107" s="4" t="n">
        <v>83.6</v>
      </c>
      <c r="J107" s="6" t="n">
        <v>1.41</v>
      </c>
      <c r="K107" s="4" t="n">
        <v>0</v>
      </c>
      <c r="L107" s="6" t="n">
        <v>4.2</v>
      </c>
      <c r="M107" s="5" t="n">
        <v>569100.78</v>
      </c>
      <c r="N107" s="5" t="n">
        <v>104808.78</v>
      </c>
    </row>
    <row r="108" customFormat="false" ht="15" hidden="false" customHeight="false" outlineLevel="0" collapsed="false">
      <c r="A108" s="7" t="s">
        <v>49</v>
      </c>
      <c r="B108" s="7" t="s">
        <v>17</v>
      </c>
      <c r="C108" s="7" t="s">
        <v>33</v>
      </c>
      <c r="D108" s="7" t="s">
        <v>24</v>
      </c>
      <c r="E108" s="8" t="n">
        <v>55388.11</v>
      </c>
      <c r="F108" s="7" t="n">
        <v>3091</v>
      </c>
      <c r="G108" s="7" t="n">
        <v>0.108</v>
      </c>
      <c r="H108" s="7" t="n">
        <v>7</v>
      </c>
      <c r="I108" s="7" t="n">
        <v>85.4</v>
      </c>
      <c r="J108" s="9" t="n">
        <v>7.34</v>
      </c>
      <c r="K108" s="7" t="n">
        <v>0</v>
      </c>
      <c r="L108" s="9" t="n">
        <v>4.9</v>
      </c>
      <c r="M108" s="8" t="n">
        <v>574436.29</v>
      </c>
      <c r="N108" s="8" t="n">
        <v>80271.99</v>
      </c>
    </row>
    <row r="109" customFormat="false" ht="15" hidden="false" customHeight="false" outlineLevel="0" collapsed="false">
      <c r="A109" s="4" t="s">
        <v>49</v>
      </c>
      <c r="B109" s="4" t="s">
        <v>20</v>
      </c>
      <c r="C109" s="4" t="s">
        <v>33</v>
      </c>
      <c r="D109" s="4" t="s">
        <v>24</v>
      </c>
      <c r="E109" s="5" t="n">
        <v>88443.77</v>
      </c>
      <c r="F109" s="4" t="n">
        <v>4004</v>
      </c>
      <c r="G109" s="4" t="n">
        <v>0.206</v>
      </c>
      <c r="H109" s="4" t="n">
        <v>11</v>
      </c>
      <c r="I109" s="4" t="n">
        <v>91.9</v>
      </c>
      <c r="J109" s="6" t="n">
        <v>5.95</v>
      </c>
      <c r="K109" s="4" t="n">
        <v>0</v>
      </c>
      <c r="L109" s="6" t="n">
        <v>3.9</v>
      </c>
      <c r="M109" s="5" t="n">
        <v>611766.72</v>
      </c>
      <c r="N109" s="5" t="n">
        <v>88275.61</v>
      </c>
    </row>
    <row r="110" customFormat="false" ht="15" hidden="false" customHeight="false" outlineLevel="0" collapsed="false">
      <c r="A110" s="7" t="s">
        <v>49</v>
      </c>
      <c r="B110" s="7" t="s">
        <v>21</v>
      </c>
      <c r="C110" s="7" t="s">
        <v>33</v>
      </c>
      <c r="D110" s="7" t="s">
        <v>24</v>
      </c>
      <c r="E110" s="8" t="n">
        <v>78231.91</v>
      </c>
      <c r="F110" s="7" t="n">
        <v>3788</v>
      </c>
      <c r="G110" s="7" t="n">
        <v>0.059</v>
      </c>
      <c r="H110" s="7" t="n">
        <v>11</v>
      </c>
      <c r="I110" s="7" t="n">
        <v>88.5</v>
      </c>
      <c r="J110" s="9" t="n">
        <v>15.51</v>
      </c>
      <c r="K110" s="7" t="n">
        <v>0</v>
      </c>
      <c r="L110" s="9" t="n">
        <v>4.3</v>
      </c>
      <c r="M110" s="8" t="n">
        <v>614596.32</v>
      </c>
      <c r="N110" s="8" t="n">
        <v>131199.41</v>
      </c>
    </row>
    <row r="111" customFormat="false" ht="15" hidden="false" customHeight="false" outlineLevel="0" collapsed="false">
      <c r="A111" s="4" t="s">
        <v>49</v>
      </c>
      <c r="B111" s="4" t="s">
        <v>22</v>
      </c>
      <c r="C111" s="4" t="s">
        <v>33</v>
      </c>
      <c r="D111" s="4" t="s">
        <v>24</v>
      </c>
      <c r="E111" s="5" t="n">
        <v>18996.32</v>
      </c>
      <c r="F111" s="4" t="n">
        <v>1260</v>
      </c>
      <c r="G111" s="4" t="n">
        <v>0.145</v>
      </c>
      <c r="H111" s="4" t="n">
        <v>9</v>
      </c>
      <c r="I111" s="4" t="n">
        <v>86.4</v>
      </c>
      <c r="J111" s="6" t="n">
        <v>4.31</v>
      </c>
      <c r="K111" s="4" t="n">
        <v>0</v>
      </c>
      <c r="L111" s="6" t="n">
        <v>4.6</v>
      </c>
      <c r="M111" s="5" t="n">
        <v>450711.92</v>
      </c>
      <c r="N111" s="5" t="n">
        <v>90043.76</v>
      </c>
    </row>
    <row r="112" customFormat="false" ht="15" hidden="false" customHeight="false" outlineLevel="0" collapsed="false">
      <c r="A112" s="7" t="s">
        <v>50</v>
      </c>
      <c r="B112" s="7" t="s">
        <v>17</v>
      </c>
      <c r="C112" s="7" t="s">
        <v>30</v>
      </c>
      <c r="D112" s="7" t="s">
        <v>34</v>
      </c>
      <c r="E112" s="8" t="n">
        <v>50517.94</v>
      </c>
      <c r="F112" s="7" t="n">
        <v>7024</v>
      </c>
      <c r="G112" s="7" t="n">
        <v>0.029</v>
      </c>
      <c r="H112" s="7" t="n">
        <v>18</v>
      </c>
      <c r="I112" s="7" t="n">
        <v>79.2</v>
      </c>
      <c r="J112" s="9" t="n">
        <v>6.61</v>
      </c>
      <c r="K112" s="7" t="n">
        <v>1</v>
      </c>
      <c r="L112" s="9" t="n">
        <v>4.1</v>
      </c>
      <c r="M112" s="8" t="n">
        <v>711213.46</v>
      </c>
      <c r="N112" s="8" t="n">
        <v>105863.26</v>
      </c>
    </row>
    <row r="113" customFormat="false" ht="15" hidden="false" customHeight="false" outlineLevel="0" collapsed="false">
      <c r="A113" s="4" t="s">
        <v>50</v>
      </c>
      <c r="B113" s="4" t="s">
        <v>20</v>
      </c>
      <c r="C113" s="4" t="s">
        <v>30</v>
      </c>
      <c r="D113" s="4" t="s">
        <v>34</v>
      </c>
      <c r="E113" s="5" t="n">
        <v>141540.29</v>
      </c>
      <c r="F113" s="4" t="n">
        <v>5400</v>
      </c>
      <c r="G113" s="4" t="n">
        <v>0.013</v>
      </c>
      <c r="H113" s="4" t="n">
        <v>12</v>
      </c>
      <c r="I113" s="4" t="n">
        <v>87</v>
      </c>
      <c r="J113" s="6" t="n">
        <v>4.26</v>
      </c>
      <c r="K113" s="4" t="n">
        <v>0</v>
      </c>
      <c r="L113" s="6" t="n">
        <v>4.5</v>
      </c>
      <c r="M113" s="5" t="n">
        <v>627171.9</v>
      </c>
      <c r="N113" s="5" t="n">
        <v>105772.75</v>
      </c>
    </row>
    <row r="114" customFormat="false" ht="15" hidden="false" customHeight="false" outlineLevel="0" collapsed="false">
      <c r="A114" s="7" t="s">
        <v>50</v>
      </c>
      <c r="B114" s="7" t="s">
        <v>21</v>
      </c>
      <c r="C114" s="7" t="s">
        <v>30</v>
      </c>
      <c r="D114" s="7" t="s">
        <v>34</v>
      </c>
      <c r="E114" s="8" t="n">
        <v>82116.19</v>
      </c>
      <c r="F114" s="7" t="n">
        <v>5988</v>
      </c>
      <c r="G114" s="7" t="n">
        <v>0.04</v>
      </c>
      <c r="H114" s="7" t="n">
        <v>17</v>
      </c>
      <c r="I114" s="7" t="n">
        <v>91.8</v>
      </c>
      <c r="J114" s="9" t="n">
        <v>5.75</v>
      </c>
      <c r="K114" s="7" t="n">
        <v>0</v>
      </c>
      <c r="L114" s="9" t="n">
        <v>4.7</v>
      </c>
      <c r="M114" s="8" t="n">
        <v>739852.58</v>
      </c>
      <c r="N114" s="8" t="n">
        <v>129386.43</v>
      </c>
    </row>
    <row r="115" customFormat="false" ht="15" hidden="false" customHeight="false" outlineLevel="0" collapsed="false">
      <c r="A115" s="4" t="s">
        <v>50</v>
      </c>
      <c r="B115" s="4" t="s">
        <v>22</v>
      </c>
      <c r="C115" s="4" t="s">
        <v>30</v>
      </c>
      <c r="D115" s="4" t="s">
        <v>34</v>
      </c>
      <c r="E115" s="5" t="n">
        <v>31207.51</v>
      </c>
      <c r="F115" s="4" t="n">
        <v>3701</v>
      </c>
      <c r="G115" s="4" t="n">
        <v>0.043</v>
      </c>
      <c r="H115" s="4" t="n">
        <v>11</v>
      </c>
      <c r="I115" s="4" t="n">
        <v>84.7</v>
      </c>
      <c r="J115" s="6" t="n">
        <v>0.33</v>
      </c>
      <c r="K115" s="4" t="n">
        <v>0</v>
      </c>
      <c r="L115" s="6" t="n">
        <v>4.3</v>
      </c>
      <c r="M115" s="5" t="n">
        <v>586307.22</v>
      </c>
      <c r="N115" s="5" t="n">
        <v>73927.85</v>
      </c>
    </row>
    <row r="116" customFormat="false" ht="15" hidden="false" customHeight="false" outlineLevel="0" collapsed="false">
      <c r="A116" s="7" t="s">
        <v>51</v>
      </c>
      <c r="B116" s="7" t="s">
        <v>17</v>
      </c>
      <c r="C116" s="7" t="s">
        <v>33</v>
      </c>
      <c r="D116" s="7" t="s">
        <v>19</v>
      </c>
      <c r="E116" s="8" t="n">
        <v>38966.59</v>
      </c>
      <c r="F116" s="7" t="n">
        <v>4509</v>
      </c>
      <c r="G116" s="7" t="n">
        <v>0.194</v>
      </c>
      <c r="H116" s="7" t="n">
        <v>14</v>
      </c>
      <c r="I116" s="7" t="n">
        <v>91.1</v>
      </c>
      <c r="J116" s="9" t="n">
        <v>2.92</v>
      </c>
      <c r="K116" s="7" t="n">
        <v>0</v>
      </c>
      <c r="L116" s="9" t="n">
        <v>4.6</v>
      </c>
      <c r="M116" s="8" t="n">
        <v>585937.48</v>
      </c>
      <c r="N116" s="8" t="n">
        <v>82624.2</v>
      </c>
    </row>
    <row r="117" customFormat="false" ht="15" hidden="false" customHeight="false" outlineLevel="0" collapsed="false">
      <c r="A117" s="4" t="s">
        <v>51</v>
      </c>
      <c r="B117" s="4" t="s">
        <v>20</v>
      </c>
      <c r="C117" s="4" t="s">
        <v>33</v>
      </c>
      <c r="D117" s="4" t="s">
        <v>19</v>
      </c>
      <c r="E117" s="5" t="n">
        <v>67439.3</v>
      </c>
      <c r="F117" s="4" t="n">
        <v>6477</v>
      </c>
      <c r="G117" s="4" t="n">
        <v>0</v>
      </c>
      <c r="H117" s="4" t="n">
        <v>16</v>
      </c>
      <c r="I117" s="4" t="n">
        <v>90.9</v>
      </c>
      <c r="J117" s="6" t="n">
        <v>1.64</v>
      </c>
      <c r="K117" s="4" t="n">
        <v>0</v>
      </c>
      <c r="L117" s="6" t="n">
        <v>4.5</v>
      </c>
      <c r="M117" s="5" t="n">
        <v>753473.55</v>
      </c>
      <c r="N117" s="5" t="n">
        <v>151527.22</v>
      </c>
    </row>
    <row r="118" customFormat="false" ht="15" hidden="false" customHeight="false" outlineLevel="0" collapsed="false">
      <c r="A118" s="7" t="s">
        <v>51</v>
      </c>
      <c r="B118" s="7" t="s">
        <v>21</v>
      </c>
      <c r="C118" s="7" t="s">
        <v>33</v>
      </c>
      <c r="D118" s="7" t="s">
        <v>19</v>
      </c>
      <c r="E118" s="8" t="n">
        <v>86421.88</v>
      </c>
      <c r="F118" s="7" t="n">
        <v>7970</v>
      </c>
      <c r="G118" s="7" t="n">
        <v>0.073</v>
      </c>
      <c r="H118" s="7" t="n">
        <v>17</v>
      </c>
      <c r="I118" s="7" t="n">
        <v>91.3</v>
      </c>
      <c r="J118" s="9" t="n">
        <v>0.8</v>
      </c>
      <c r="K118" s="7" t="n">
        <v>0</v>
      </c>
      <c r="L118" s="9" t="n">
        <v>5</v>
      </c>
      <c r="M118" s="8" t="n">
        <v>838250.32</v>
      </c>
      <c r="N118" s="8" t="n">
        <v>122939.34</v>
      </c>
    </row>
    <row r="119" customFormat="false" ht="15" hidden="false" customHeight="false" outlineLevel="0" collapsed="false">
      <c r="A119" s="4" t="s">
        <v>51</v>
      </c>
      <c r="B119" s="4" t="s">
        <v>22</v>
      </c>
      <c r="C119" s="4" t="s">
        <v>33</v>
      </c>
      <c r="D119" s="4" t="s">
        <v>19</v>
      </c>
      <c r="E119" s="5" t="n">
        <v>9534.65</v>
      </c>
      <c r="F119" s="4" t="n">
        <v>6057</v>
      </c>
      <c r="G119" s="4" t="n">
        <v>0.074</v>
      </c>
      <c r="H119" s="4" t="n">
        <v>15</v>
      </c>
      <c r="I119" s="4" t="n">
        <v>94.1</v>
      </c>
      <c r="J119" s="6" t="n">
        <v>5.79</v>
      </c>
      <c r="K119" s="4" t="n">
        <v>0</v>
      </c>
      <c r="L119" s="6" t="n">
        <v>4.5</v>
      </c>
      <c r="M119" s="5" t="n">
        <v>607898.12</v>
      </c>
      <c r="N119" s="5" t="n">
        <v>135404.85</v>
      </c>
    </row>
    <row r="120" customFormat="false" ht="15" hidden="false" customHeight="false" outlineLevel="0" collapsed="false">
      <c r="A120" s="7" t="s">
        <v>52</v>
      </c>
      <c r="B120" s="7" t="s">
        <v>17</v>
      </c>
      <c r="C120" s="7" t="s">
        <v>33</v>
      </c>
      <c r="D120" s="7" t="s">
        <v>34</v>
      </c>
      <c r="E120" s="8" t="n">
        <v>61132.07</v>
      </c>
      <c r="F120" s="7" t="n">
        <v>6394</v>
      </c>
      <c r="G120" s="7" t="n">
        <v>0.163</v>
      </c>
      <c r="H120" s="7" t="n">
        <v>19</v>
      </c>
      <c r="I120" s="7" t="n">
        <v>91</v>
      </c>
      <c r="J120" s="9" t="n">
        <v>19.6</v>
      </c>
      <c r="K120" s="7" t="n">
        <v>0</v>
      </c>
      <c r="L120" s="9" t="n">
        <v>4.4</v>
      </c>
      <c r="M120" s="8" t="n">
        <v>691113.62</v>
      </c>
      <c r="N120" s="8" t="n">
        <v>135145.44</v>
      </c>
    </row>
    <row r="121" customFormat="false" ht="15" hidden="false" customHeight="false" outlineLevel="0" collapsed="false">
      <c r="A121" s="4" t="s">
        <v>52</v>
      </c>
      <c r="B121" s="4" t="s">
        <v>20</v>
      </c>
      <c r="C121" s="4" t="s">
        <v>33</v>
      </c>
      <c r="D121" s="4" t="s">
        <v>34</v>
      </c>
      <c r="E121" s="5" t="n">
        <v>78839.39</v>
      </c>
      <c r="F121" s="4" t="n">
        <v>5150</v>
      </c>
      <c r="G121" s="4" t="n">
        <v>0.171</v>
      </c>
      <c r="H121" s="4" t="n">
        <v>13</v>
      </c>
      <c r="I121" s="4" t="n">
        <v>85.8</v>
      </c>
      <c r="J121" s="6" t="n">
        <v>7.57</v>
      </c>
      <c r="K121" s="4" t="n">
        <v>0</v>
      </c>
      <c r="L121" s="6" t="n">
        <v>4.3</v>
      </c>
      <c r="M121" s="5" t="n">
        <v>735509.4</v>
      </c>
      <c r="N121" s="5" t="n">
        <v>83895.96</v>
      </c>
    </row>
    <row r="122" customFormat="false" ht="15" hidden="false" customHeight="false" outlineLevel="0" collapsed="false">
      <c r="A122" s="7" t="s">
        <v>52</v>
      </c>
      <c r="B122" s="7" t="s">
        <v>21</v>
      </c>
      <c r="C122" s="7" t="s">
        <v>33</v>
      </c>
      <c r="D122" s="7" t="s">
        <v>34</v>
      </c>
      <c r="E122" s="8" t="n">
        <v>38752.8</v>
      </c>
      <c r="F122" s="7" t="n">
        <v>4712</v>
      </c>
      <c r="G122" s="7" t="n">
        <v>0.075</v>
      </c>
      <c r="H122" s="7" t="n">
        <v>15</v>
      </c>
      <c r="I122" s="7" t="n">
        <v>89.7</v>
      </c>
      <c r="J122" s="9" t="n">
        <v>3.64</v>
      </c>
      <c r="K122" s="7" t="n">
        <v>0</v>
      </c>
      <c r="L122" s="9" t="n">
        <v>4.3</v>
      </c>
      <c r="M122" s="8" t="n">
        <v>605775.33</v>
      </c>
      <c r="N122" s="8" t="n">
        <v>107194.6</v>
      </c>
    </row>
    <row r="123" customFormat="false" ht="15" hidden="false" customHeight="false" outlineLevel="0" collapsed="false">
      <c r="A123" s="4" t="s">
        <v>52</v>
      </c>
      <c r="B123" s="4" t="s">
        <v>22</v>
      </c>
      <c r="C123" s="4" t="s">
        <v>33</v>
      </c>
      <c r="D123" s="4" t="s">
        <v>34</v>
      </c>
      <c r="E123" s="5" t="n">
        <v>55101.1</v>
      </c>
      <c r="F123" s="4" t="n">
        <v>5281</v>
      </c>
      <c r="G123" s="4" t="n">
        <v>0.189</v>
      </c>
      <c r="H123" s="4" t="n">
        <v>11</v>
      </c>
      <c r="I123" s="4" t="n">
        <v>91</v>
      </c>
      <c r="J123" s="6" t="n">
        <v>2.7</v>
      </c>
      <c r="K123" s="4" t="n">
        <v>0</v>
      </c>
      <c r="L123" s="6" t="n">
        <v>4.4</v>
      </c>
      <c r="M123" s="5" t="n">
        <v>675177.68</v>
      </c>
      <c r="N123" s="5" t="n">
        <v>105628.68</v>
      </c>
    </row>
    <row r="124" customFormat="false" ht="15" hidden="false" customHeight="false" outlineLevel="0" collapsed="false">
      <c r="A124" s="7" t="s">
        <v>53</v>
      </c>
      <c r="B124" s="7" t="s">
        <v>17</v>
      </c>
      <c r="C124" s="7" t="s">
        <v>18</v>
      </c>
      <c r="D124" s="7" t="s">
        <v>34</v>
      </c>
      <c r="E124" s="8" t="n">
        <v>53084.76</v>
      </c>
      <c r="F124" s="7" t="n">
        <v>3642</v>
      </c>
      <c r="G124" s="7" t="n">
        <v>0.15</v>
      </c>
      <c r="H124" s="7" t="n">
        <v>12</v>
      </c>
      <c r="I124" s="7" t="n">
        <v>91.4</v>
      </c>
      <c r="J124" s="9" t="n">
        <v>0.2</v>
      </c>
      <c r="K124" s="7" t="n">
        <v>0</v>
      </c>
      <c r="L124" s="9" t="n">
        <v>4.4</v>
      </c>
      <c r="M124" s="8" t="n">
        <v>635181.35</v>
      </c>
      <c r="N124" s="8" t="n">
        <v>83341.25</v>
      </c>
    </row>
    <row r="125" customFormat="false" ht="15" hidden="false" customHeight="false" outlineLevel="0" collapsed="false">
      <c r="A125" s="4" t="s">
        <v>53</v>
      </c>
      <c r="B125" s="4" t="s">
        <v>20</v>
      </c>
      <c r="C125" s="4" t="s">
        <v>18</v>
      </c>
      <c r="D125" s="4" t="s">
        <v>34</v>
      </c>
      <c r="E125" s="5" t="n">
        <v>63101.59</v>
      </c>
      <c r="F125" s="4" t="n">
        <v>4373</v>
      </c>
      <c r="G125" s="4" t="n">
        <v>0.173</v>
      </c>
      <c r="H125" s="4" t="n">
        <v>14</v>
      </c>
      <c r="I125" s="4" t="n">
        <v>90.4</v>
      </c>
      <c r="J125" s="6" t="n">
        <v>7.87</v>
      </c>
      <c r="K125" s="4" t="n">
        <v>0</v>
      </c>
      <c r="L125" s="6" t="n">
        <v>4.7</v>
      </c>
      <c r="M125" s="5" t="n">
        <v>586626.94</v>
      </c>
      <c r="N125" s="5" t="n">
        <v>86498.55</v>
      </c>
    </row>
    <row r="126" customFormat="false" ht="15" hidden="false" customHeight="false" outlineLevel="0" collapsed="false">
      <c r="A126" s="7" t="s">
        <v>53</v>
      </c>
      <c r="B126" s="7" t="s">
        <v>21</v>
      </c>
      <c r="C126" s="7" t="s">
        <v>18</v>
      </c>
      <c r="D126" s="7" t="s">
        <v>34</v>
      </c>
      <c r="E126" s="8" t="n">
        <v>90084.4</v>
      </c>
      <c r="F126" s="7" t="n">
        <v>6832</v>
      </c>
      <c r="G126" s="7" t="n">
        <v>0.185</v>
      </c>
      <c r="H126" s="7" t="n">
        <v>14</v>
      </c>
      <c r="I126" s="7" t="n">
        <v>80.5</v>
      </c>
      <c r="J126" s="9" t="n">
        <v>0.77</v>
      </c>
      <c r="K126" s="7" t="n">
        <v>1</v>
      </c>
      <c r="L126" s="9" t="n">
        <v>4.4</v>
      </c>
      <c r="M126" s="8" t="n">
        <v>740102.64</v>
      </c>
      <c r="N126" s="8" t="n">
        <v>114299.07</v>
      </c>
    </row>
    <row r="127" customFormat="false" ht="15" hidden="false" customHeight="false" outlineLevel="0" collapsed="false">
      <c r="A127" s="4" t="s">
        <v>53</v>
      </c>
      <c r="B127" s="4" t="s">
        <v>22</v>
      </c>
      <c r="C127" s="4" t="s">
        <v>18</v>
      </c>
      <c r="D127" s="4" t="s">
        <v>34</v>
      </c>
      <c r="E127" s="5" t="n">
        <v>32266.64</v>
      </c>
      <c r="F127" s="4" t="n">
        <v>2414</v>
      </c>
      <c r="G127" s="4" t="n">
        <v>0.08</v>
      </c>
      <c r="H127" s="4" t="n">
        <v>7</v>
      </c>
      <c r="I127" s="4" t="n">
        <v>92.1</v>
      </c>
      <c r="J127" s="6" t="n">
        <v>1.48</v>
      </c>
      <c r="K127" s="4" t="n">
        <v>0</v>
      </c>
      <c r="L127" s="6" t="n">
        <v>5</v>
      </c>
      <c r="M127" s="5" t="n">
        <v>625514.04</v>
      </c>
      <c r="N127" s="5" t="n">
        <v>120685.08</v>
      </c>
    </row>
    <row r="128" customFormat="false" ht="15" hidden="false" customHeight="false" outlineLevel="0" collapsed="false">
      <c r="A128" s="7" t="s">
        <v>54</v>
      </c>
      <c r="B128" s="7" t="s">
        <v>17</v>
      </c>
      <c r="C128" s="7" t="s">
        <v>33</v>
      </c>
      <c r="D128" s="7" t="s">
        <v>24</v>
      </c>
      <c r="E128" s="8" t="n">
        <v>57919.07</v>
      </c>
      <c r="F128" s="7" t="n">
        <v>7374</v>
      </c>
      <c r="G128" s="7" t="n">
        <v>0.103</v>
      </c>
      <c r="H128" s="7" t="n">
        <v>21</v>
      </c>
      <c r="I128" s="7" t="n">
        <v>82.3</v>
      </c>
      <c r="J128" s="9" t="n">
        <v>2.87</v>
      </c>
      <c r="K128" s="7" t="n">
        <v>0</v>
      </c>
      <c r="L128" s="9" t="n">
        <v>2.9</v>
      </c>
      <c r="M128" s="8" t="n">
        <v>727227.2</v>
      </c>
      <c r="N128" s="8" t="n">
        <v>121292.01</v>
      </c>
    </row>
    <row r="129" customFormat="false" ht="15" hidden="false" customHeight="false" outlineLevel="0" collapsed="false">
      <c r="A129" s="4" t="s">
        <v>54</v>
      </c>
      <c r="B129" s="4" t="s">
        <v>20</v>
      </c>
      <c r="C129" s="4" t="s">
        <v>33</v>
      </c>
      <c r="D129" s="4" t="s">
        <v>24</v>
      </c>
      <c r="E129" s="5" t="n">
        <v>74679.35</v>
      </c>
      <c r="F129" s="4" t="n">
        <v>8739</v>
      </c>
      <c r="G129" s="4" t="n">
        <v>0.056</v>
      </c>
      <c r="H129" s="4" t="n">
        <v>21</v>
      </c>
      <c r="I129" s="4" t="n">
        <v>91.8</v>
      </c>
      <c r="J129" s="6" t="n">
        <v>2.83</v>
      </c>
      <c r="K129" s="4" t="n">
        <v>0</v>
      </c>
      <c r="L129" s="6" t="n">
        <v>3</v>
      </c>
      <c r="M129" s="5" t="n">
        <v>783797.89</v>
      </c>
      <c r="N129" s="5" t="n">
        <v>157620.7</v>
      </c>
    </row>
    <row r="130" customFormat="false" ht="15" hidden="false" customHeight="false" outlineLevel="0" collapsed="false">
      <c r="A130" s="7" t="s">
        <v>54</v>
      </c>
      <c r="B130" s="7" t="s">
        <v>21</v>
      </c>
      <c r="C130" s="7" t="s">
        <v>33</v>
      </c>
      <c r="D130" s="7" t="s">
        <v>24</v>
      </c>
      <c r="E130" s="8" t="n">
        <v>64294.23</v>
      </c>
      <c r="F130" s="7" t="n">
        <v>6992</v>
      </c>
      <c r="G130" s="7" t="n">
        <v>0.133</v>
      </c>
      <c r="H130" s="7" t="n">
        <v>14</v>
      </c>
      <c r="I130" s="7" t="n">
        <v>94.1</v>
      </c>
      <c r="J130" s="9" t="n">
        <v>0.25</v>
      </c>
      <c r="K130" s="7" t="n">
        <v>0</v>
      </c>
      <c r="L130" s="9" t="n">
        <v>3</v>
      </c>
      <c r="M130" s="8" t="n">
        <v>795153.84</v>
      </c>
      <c r="N130" s="8" t="n">
        <v>143194.21</v>
      </c>
    </row>
    <row r="131" customFormat="false" ht="15" hidden="false" customHeight="false" outlineLevel="0" collapsed="false">
      <c r="A131" s="4" t="s">
        <v>54</v>
      </c>
      <c r="B131" s="4" t="s">
        <v>22</v>
      </c>
      <c r="C131" s="4" t="s">
        <v>33</v>
      </c>
      <c r="D131" s="4" t="s">
        <v>24</v>
      </c>
      <c r="E131" s="5" t="n">
        <v>31042.03</v>
      </c>
      <c r="F131" s="4" t="n">
        <v>7107</v>
      </c>
      <c r="G131" s="4" t="n">
        <v>0.051</v>
      </c>
      <c r="H131" s="4" t="n">
        <v>15</v>
      </c>
      <c r="I131" s="4" t="n">
        <v>87</v>
      </c>
      <c r="J131" s="6" t="n">
        <v>13.33</v>
      </c>
      <c r="K131" s="4" t="n">
        <v>0</v>
      </c>
      <c r="L131" s="6" t="n">
        <v>3.2</v>
      </c>
      <c r="M131" s="5" t="n">
        <v>665594.94</v>
      </c>
      <c r="N131" s="5" t="n">
        <v>127597.34</v>
      </c>
    </row>
    <row r="132" customFormat="false" ht="15" hidden="false" customHeight="false" outlineLevel="0" collapsed="false">
      <c r="A132" s="7" t="s">
        <v>55</v>
      </c>
      <c r="B132" s="7" t="s">
        <v>17</v>
      </c>
      <c r="C132" s="7" t="s">
        <v>18</v>
      </c>
      <c r="D132" s="7" t="s">
        <v>34</v>
      </c>
      <c r="E132" s="8" t="n">
        <v>75265.02</v>
      </c>
      <c r="F132" s="7" t="n">
        <v>6975</v>
      </c>
      <c r="G132" s="7" t="n">
        <v>0.157</v>
      </c>
      <c r="H132" s="7" t="n">
        <v>20</v>
      </c>
      <c r="I132" s="7" t="n">
        <v>73.8</v>
      </c>
      <c r="J132" s="9" t="n">
        <v>6.35</v>
      </c>
      <c r="K132" s="7" t="n">
        <v>1</v>
      </c>
      <c r="L132" s="9" t="n">
        <v>3.8</v>
      </c>
      <c r="M132" s="8" t="n">
        <v>709478.39</v>
      </c>
      <c r="N132" s="8" t="n">
        <v>71294.27</v>
      </c>
    </row>
    <row r="133" customFormat="false" ht="15" hidden="false" customHeight="false" outlineLevel="0" collapsed="false">
      <c r="A133" s="4" t="s">
        <v>55</v>
      </c>
      <c r="B133" s="4" t="s">
        <v>20</v>
      </c>
      <c r="C133" s="4" t="s">
        <v>18</v>
      </c>
      <c r="D133" s="4" t="s">
        <v>34</v>
      </c>
      <c r="E133" s="5" t="n">
        <v>69411.7</v>
      </c>
      <c r="F133" s="4" t="n">
        <v>5493</v>
      </c>
      <c r="G133" s="4" t="n">
        <v>0.292</v>
      </c>
      <c r="H133" s="4" t="n">
        <v>13</v>
      </c>
      <c r="I133" s="4" t="n">
        <v>86.5</v>
      </c>
      <c r="J133" s="6" t="n">
        <v>6.69</v>
      </c>
      <c r="K133" s="4" t="n">
        <v>0</v>
      </c>
      <c r="L133" s="6" t="n">
        <v>3.8</v>
      </c>
      <c r="M133" s="5" t="n">
        <v>664162.49</v>
      </c>
      <c r="N133" s="5" t="n">
        <v>98291.06</v>
      </c>
    </row>
    <row r="134" customFormat="false" ht="15" hidden="false" customHeight="false" outlineLevel="0" collapsed="false">
      <c r="A134" s="7" t="s">
        <v>55</v>
      </c>
      <c r="B134" s="7" t="s">
        <v>21</v>
      </c>
      <c r="C134" s="7" t="s">
        <v>18</v>
      </c>
      <c r="D134" s="7" t="s">
        <v>34</v>
      </c>
      <c r="E134" s="8" t="n">
        <v>51056.15</v>
      </c>
      <c r="F134" s="7" t="n">
        <v>5686</v>
      </c>
      <c r="G134" s="7" t="n">
        <v>0.089</v>
      </c>
      <c r="H134" s="7" t="n">
        <v>13</v>
      </c>
      <c r="I134" s="7" t="n">
        <v>89.9</v>
      </c>
      <c r="J134" s="9" t="n">
        <v>1.28</v>
      </c>
      <c r="K134" s="7" t="n">
        <v>0</v>
      </c>
      <c r="L134" s="9" t="n">
        <v>4.2</v>
      </c>
      <c r="M134" s="8" t="n">
        <v>633494.21</v>
      </c>
      <c r="N134" s="8" t="n">
        <v>105739.47</v>
      </c>
    </row>
    <row r="135" customFormat="false" ht="15" hidden="false" customHeight="false" outlineLevel="0" collapsed="false">
      <c r="A135" s="4" t="s">
        <v>55</v>
      </c>
      <c r="B135" s="4" t="s">
        <v>22</v>
      </c>
      <c r="C135" s="4" t="s">
        <v>18</v>
      </c>
      <c r="D135" s="4" t="s">
        <v>34</v>
      </c>
      <c r="E135" s="5" t="n">
        <v>52758.01</v>
      </c>
      <c r="F135" s="4" t="n">
        <v>4063</v>
      </c>
      <c r="G135" s="4" t="n">
        <v>0.057</v>
      </c>
      <c r="H135" s="4" t="n">
        <v>12</v>
      </c>
      <c r="I135" s="4" t="n">
        <v>91.7</v>
      </c>
      <c r="J135" s="6" t="n">
        <v>0.92</v>
      </c>
      <c r="K135" s="4" t="n">
        <v>0</v>
      </c>
      <c r="L135" s="6" t="n">
        <v>3.5</v>
      </c>
      <c r="M135" s="5" t="n">
        <v>713611.16</v>
      </c>
      <c r="N135" s="5" t="n">
        <v>129717.18</v>
      </c>
    </row>
    <row r="136" customFormat="false" ht="15" hidden="false" customHeight="false" outlineLevel="0" collapsed="false">
      <c r="A136" s="7" t="s">
        <v>56</v>
      </c>
      <c r="B136" s="7" t="s">
        <v>17</v>
      </c>
      <c r="C136" s="7" t="s">
        <v>33</v>
      </c>
      <c r="D136" s="7" t="s">
        <v>34</v>
      </c>
      <c r="E136" s="8" t="n">
        <v>61426.04</v>
      </c>
      <c r="F136" s="7" t="n">
        <v>8966</v>
      </c>
      <c r="G136" s="7" t="n">
        <v>0.173</v>
      </c>
      <c r="H136" s="7" t="n">
        <v>22</v>
      </c>
      <c r="I136" s="7" t="n">
        <v>76.4</v>
      </c>
      <c r="J136" s="9" t="n">
        <v>1.05</v>
      </c>
      <c r="K136" s="7" t="n">
        <v>0</v>
      </c>
      <c r="L136" s="9" t="n">
        <v>3.1</v>
      </c>
      <c r="M136" s="8" t="n">
        <v>778397.97</v>
      </c>
      <c r="N136" s="8" t="n">
        <v>120044.41</v>
      </c>
    </row>
    <row r="137" customFormat="false" ht="15" hidden="false" customHeight="false" outlineLevel="0" collapsed="false">
      <c r="A137" s="4" t="s">
        <v>56</v>
      </c>
      <c r="B137" s="4" t="s">
        <v>20</v>
      </c>
      <c r="C137" s="4" t="s">
        <v>33</v>
      </c>
      <c r="D137" s="4" t="s">
        <v>34</v>
      </c>
      <c r="E137" s="5" t="n">
        <v>80176.34</v>
      </c>
      <c r="F137" s="4" t="n">
        <v>9489</v>
      </c>
      <c r="G137" s="4" t="n">
        <v>0.142</v>
      </c>
      <c r="H137" s="4" t="n">
        <v>22</v>
      </c>
      <c r="I137" s="4" t="n">
        <v>94.3</v>
      </c>
      <c r="J137" s="6" t="n">
        <v>2.67</v>
      </c>
      <c r="K137" s="4" t="n">
        <v>0</v>
      </c>
      <c r="L137" s="6" t="n">
        <v>3.5</v>
      </c>
      <c r="M137" s="5" t="n">
        <v>873380.02</v>
      </c>
      <c r="N137" s="5" t="n">
        <v>149734.76</v>
      </c>
    </row>
    <row r="138" customFormat="false" ht="15" hidden="false" customHeight="false" outlineLevel="0" collapsed="false">
      <c r="A138" s="7" t="s">
        <v>56</v>
      </c>
      <c r="B138" s="7" t="s">
        <v>21</v>
      </c>
      <c r="C138" s="7" t="s">
        <v>33</v>
      </c>
      <c r="D138" s="7" t="s">
        <v>34</v>
      </c>
      <c r="E138" s="8" t="n">
        <v>33605.18</v>
      </c>
      <c r="F138" s="7" t="n">
        <v>9225</v>
      </c>
      <c r="G138" s="7" t="n">
        <v>0.159</v>
      </c>
      <c r="H138" s="7" t="n">
        <v>23</v>
      </c>
      <c r="I138" s="7" t="n">
        <v>88.4</v>
      </c>
      <c r="J138" s="9" t="n">
        <v>5.91</v>
      </c>
      <c r="K138" s="7" t="n">
        <v>0</v>
      </c>
      <c r="L138" s="9" t="n">
        <v>2.8</v>
      </c>
      <c r="M138" s="8" t="n">
        <v>697287.9</v>
      </c>
      <c r="N138" s="8" t="n">
        <v>128208.33</v>
      </c>
    </row>
    <row r="139" customFormat="false" ht="15" hidden="false" customHeight="false" outlineLevel="0" collapsed="false">
      <c r="A139" s="4" t="s">
        <v>56</v>
      </c>
      <c r="B139" s="4" t="s">
        <v>22</v>
      </c>
      <c r="C139" s="4" t="s">
        <v>33</v>
      </c>
      <c r="D139" s="4" t="s">
        <v>34</v>
      </c>
      <c r="E139" s="5" t="n">
        <v>25990.54</v>
      </c>
      <c r="F139" s="4" t="n">
        <v>9249</v>
      </c>
      <c r="G139" s="4" t="n">
        <v>0.139</v>
      </c>
      <c r="H139" s="4" t="n">
        <v>23</v>
      </c>
      <c r="I139" s="4" t="n">
        <v>92.5</v>
      </c>
      <c r="J139" s="6" t="n">
        <v>6.37</v>
      </c>
      <c r="K139" s="4" t="n">
        <v>0</v>
      </c>
      <c r="L139" s="6" t="n">
        <v>3.3</v>
      </c>
      <c r="M139" s="5" t="n">
        <v>718074.79</v>
      </c>
      <c r="N139" s="5" t="n">
        <v>115819.87</v>
      </c>
    </row>
    <row r="140" customFormat="false" ht="15" hidden="false" customHeight="false" outlineLevel="0" collapsed="false">
      <c r="A140" s="7" t="s">
        <v>57</v>
      </c>
      <c r="B140" s="7" t="s">
        <v>17</v>
      </c>
      <c r="C140" s="7" t="s">
        <v>33</v>
      </c>
      <c r="D140" s="7" t="s">
        <v>19</v>
      </c>
      <c r="E140" s="8" t="n">
        <v>43685.14</v>
      </c>
      <c r="F140" s="7" t="n">
        <v>7821</v>
      </c>
      <c r="G140" s="7" t="n">
        <v>0.19</v>
      </c>
      <c r="H140" s="7" t="n">
        <v>17</v>
      </c>
      <c r="I140" s="7" t="n">
        <v>91</v>
      </c>
      <c r="J140" s="9" t="n">
        <v>2.49</v>
      </c>
      <c r="K140" s="7" t="n">
        <v>1</v>
      </c>
      <c r="L140" s="9" t="n">
        <v>4.7</v>
      </c>
      <c r="M140" s="8" t="n">
        <v>714942.43</v>
      </c>
      <c r="N140" s="8" t="n">
        <v>94697.71</v>
      </c>
    </row>
    <row r="141" customFormat="false" ht="15" hidden="false" customHeight="false" outlineLevel="0" collapsed="false">
      <c r="A141" s="4" t="s">
        <v>57</v>
      </c>
      <c r="B141" s="4" t="s">
        <v>20</v>
      </c>
      <c r="C141" s="4" t="s">
        <v>33</v>
      </c>
      <c r="D141" s="4" t="s">
        <v>19</v>
      </c>
      <c r="E141" s="5" t="n">
        <v>57360.01</v>
      </c>
      <c r="F141" s="4" t="n">
        <v>8434</v>
      </c>
      <c r="G141" s="4" t="n">
        <v>0.151</v>
      </c>
      <c r="H141" s="4" t="n">
        <v>19</v>
      </c>
      <c r="I141" s="4" t="n">
        <v>84.1</v>
      </c>
      <c r="J141" s="6" t="n">
        <v>1.56</v>
      </c>
      <c r="K141" s="4" t="n">
        <v>0</v>
      </c>
      <c r="L141" s="6" t="n">
        <v>4.7</v>
      </c>
      <c r="M141" s="5" t="n">
        <v>820519.04</v>
      </c>
      <c r="N141" s="5" t="n">
        <v>99035.88</v>
      </c>
    </row>
    <row r="142" customFormat="false" ht="15" hidden="false" customHeight="false" outlineLevel="0" collapsed="false">
      <c r="A142" s="7" t="s">
        <v>57</v>
      </c>
      <c r="B142" s="7" t="s">
        <v>21</v>
      </c>
      <c r="C142" s="7" t="s">
        <v>33</v>
      </c>
      <c r="D142" s="7" t="s">
        <v>19</v>
      </c>
      <c r="E142" s="8" t="n">
        <v>42415.47</v>
      </c>
      <c r="F142" s="7" t="n">
        <v>8512</v>
      </c>
      <c r="G142" s="7" t="n">
        <v>0.133</v>
      </c>
      <c r="H142" s="7" t="n">
        <v>18</v>
      </c>
      <c r="I142" s="7" t="n">
        <v>96.8</v>
      </c>
      <c r="J142" s="9" t="n">
        <v>14.95</v>
      </c>
      <c r="K142" s="7" t="n">
        <v>0</v>
      </c>
      <c r="L142" s="9" t="n">
        <v>4.6</v>
      </c>
      <c r="M142" s="8" t="n">
        <v>684217.32</v>
      </c>
      <c r="N142" s="8" t="n">
        <v>136217.19</v>
      </c>
    </row>
    <row r="143" customFormat="false" ht="15" hidden="false" customHeight="false" outlineLevel="0" collapsed="false">
      <c r="A143" s="4" t="s">
        <v>57</v>
      </c>
      <c r="B143" s="4" t="s">
        <v>22</v>
      </c>
      <c r="C143" s="4" t="s">
        <v>33</v>
      </c>
      <c r="D143" s="4" t="s">
        <v>19</v>
      </c>
      <c r="E143" s="5" t="n">
        <v>54968.98</v>
      </c>
      <c r="F143" s="4" t="n">
        <v>7816</v>
      </c>
      <c r="G143" s="4" t="n">
        <v>0.232</v>
      </c>
      <c r="H143" s="4" t="n">
        <v>19</v>
      </c>
      <c r="I143" s="4" t="n">
        <v>95.7</v>
      </c>
      <c r="J143" s="6" t="n">
        <v>7.85</v>
      </c>
      <c r="K143" s="4" t="n">
        <v>0</v>
      </c>
      <c r="L143" s="6" t="n">
        <v>4.7</v>
      </c>
      <c r="M143" s="5" t="n">
        <v>735480.19</v>
      </c>
      <c r="N143" s="5" t="n">
        <v>88342.11</v>
      </c>
    </row>
    <row r="144" customFormat="false" ht="15" hidden="false" customHeight="false" outlineLevel="0" collapsed="false">
      <c r="A144" s="7" t="s">
        <v>58</v>
      </c>
      <c r="B144" s="7" t="s">
        <v>17</v>
      </c>
      <c r="C144" s="7" t="s">
        <v>26</v>
      </c>
      <c r="D144" s="7" t="s">
        <v>24</v>
      </c>
      <c r="E144" s="8" t="n">
        <v>43896.13</v>
      </c>
      <c r="F144" s="7" t="n">
        <v>3853</v>
      </c>
      <c r="G144" s="7" t="n">
        <v>0.088</v>
      </c>
      <c r="H144" s="7" t="n">
        <v>13</v>
      </c>
      <c r="I144" s="7" t="n">
        <v>83</v>
      </c>
      <c r="J144" s="9" t="n">
        <v>6.8</v>
      </c>
      <c r="K144" s="7" t="n">
        <v>0</v>
      </c>
      <c r="L144" s="9" t="n">
        <v>4.4</v>
      </c>
      <c r="M144" s="8" t="n">
        <v>509484.81</v>
      </c>
      <c r="N144" s="8" t="n">
        <v>85742.36</v>
      </c>
    </row>
    <row r="145" customFormat="false" ht="15" hidden="false" customHeight="false" outlineLevel="0" collapsed="false">
      <c r="A145" s="4" t="s">
        <v>58</v>
      </c>
      <c r="B145" s="4" t="s">
        <v>20</v>
      </c>
      <c r="C145" s="4" t="s">
        <v>26</v>
      </c>
      <c r="D145" s="4" t="s">
        <v>24</v>
      </c>
      <c r="E145" s="5" t="n">
        <v>83044.17</v>
      </c>
      <c r="F145" s="4" t="n">
        <v>3694</v>
      </c>
      <c r="G145" s="4" t="n">
        <v>0</v>
      </c>
      <c r="H145" s="4" t="n">
        <v>14</v>
      </c>
      <c r="I145" s="4" t="n">
        <v>89.4</v>
      </c>
      <c r="J145" s="6" t="n">
        <v>2.2</v>
      </c>
      <c r="K145" s="4" t="n">
        <v>0</v>
      </c>
      <c r="L145" s="6" t="n">
        <v>3.7</v>
      </c>
      <c r="M145" s="5" t="n">
        <v>654317.09</v>
      </c>
      <c r="N145" s="5" t="n">
        <v>121446.89</v>
      </c>
    </row>
    <row r="146" customFormat="false" ht="15" hidden="false" customHeight="false" outlineLevel="0" collapsed="false">
      <c r="A146" s="7" t="s">
        <v>58</v>
      </c>
      <c r="B146" s="7" t="s">
        <v>21</v>
      </c>
      <c r="C146" s="7" t="s">
        <v>26</v>
      </c>
      <c r="D146" s="7" t="s">
        <v>24</v>
      </c>
      <c r="E146" s="8" t="n">
        <v>48396.13</v>
      </c>
      <c r="F146" s="7" t="n">
        <v>4423</v>
      </c>
      <c r="G146" s="7" t="n">
        <v>0.069</v>
      </c>
      <c r="H146" s="7" t="n">
        <v>15</v>
      </c>
      <c r="I146" s="7" t="n">
        <v>85.7</v>
      </c>
      <c r="J146" s="9" t="n">
        <v>1.88</v>
      </c>
      <c r="K146" s="7" t="n">
        <v>0</v>
      </c>
      <c r="L146" s="9" t="n">
        <v>3.9</v>
      </c>
      <c r="M146" s="8" t="n">
        <v>557487.26</v>
      </c>
      <c r="N146" s="8" t="n">
        <v>76432.19</v>
      </c>
    </row>
    <row r="147" customFormat="false" ht="15" hidden="false" customHeight="false" outlineLevel="0" collapsed="false">
      <c r="A147" s="4" t="s">
        <v>58</v>
      </c>
      <c r="B147" s="4" t="s">
        <v>22</v>
      </c>
      <c r="C147" s="4" t="s">
        <v>26</v>
      </c>
      <c r="D147" s="4" t="s">
        <v>24</v>
      </c>
      <c r="E147" s="5" t="n">
        <v>19063.48</v>
      </c>
      <c r="F147" s="4" t="n">
        <v>1906</v>
      </c>
      <c r="G147" s="4" t="n">
        <v>0.216</v>
      </c>
      <c r="H147" s="4" t="n">
        <v>10</v>
      </c>
      <c r="I147" s="4" t="n">
        <v>97.8</v>
      </c>
      <c r="J147" s="6" t="n">
        <v>15.79</v>
      </c>
      <c r="K147" s="4" t="n">
        <v>0</v>
      </c>
      <c r="L147" s="6" t="n">
        <v>4.4</v>
      </c>
      <c r="M147" s="5" t="n">
        <v>441275.42</v>
      </c>
      <c r="N147" s="5" t="n">
        <v>58234.87</v>
      </c>
    </row>
    <row r="148" customFormat="false" ht="15" hidden="false" customHeight="false" outlineLevel="0" collapsed="false">
      <c r="A148" s="7" t="s">
        <v>59</v>
      </c>
      <c r="B148" s="7" t="s">
        <v>17</v>
      </c>
      <c r="C148" s="7" t="s">
        <v>30</v>
      </c>
      <c r="D148" s="7" t="s">
        <v>24</v>
      </c>
      <c r="E148" s="8" t="n">
        <v>61541.21</v>
      </c>
      <c r="F148" s="7" t="n">
        <v>10396</v>
      </c>
      <c r="G148" s="7" t="n">
        <v>0.123</v>
      </c>
      <c r="H148" s="7" t="n">
        <v>25</v>
      </c>
      <c r="I148" s="7" t="n">
        <v>88.1</v>
      </c>
      <c r="J148" s="9" t="n">
        <v>2.34</v>
      </c>
      <c r="K148" s="7" t="n">
        <v>1</v>
      </c>
      <c r="L148" s="9" t="n">
        <v>4.8</v>
      </c>
      <c r="M148" s="8" t="n">
        <v>914544.17</v>
      </c>
      <c r="N148" s="8" t="n">
        <v>79831.73</v>
      </c>
    </row>
    <row r="149" customFormat="false" ht="15" hidden="false" customHeight="false" outlineLevel="0" collapsed="false">
      <c r="A149" s="4" t="s">
        <v>59</v>
      </c>
      <c r="B149" s="4" t="s">
        <v>20</v>
      </c>
      <c r="C149" s="4" t="s">
        <v>30</v>
      </c>
      <c r="D149" s="4" t="s">
        <v>24</v>
      </c>
      <c r="E149" s="5" t="n">
        <v>44747</v>
      </c>
      <c r="F149" s="4" t="n">
        <v>11076</v>
      </c>
      <c r="G149" s="4" t="n">
        <v>0.176</v>
      </c>
      <c r="H149" s="4" t="n">
        <v>27</v>
      </c>
      <c r="I149" s="4" t="n">
        <v>98.3</v>
      </c>
      <c r="J149" s="6" t="n">
        <v>0.54</v>
      </c>
      <c r="K149" s="4" t="n">
        <v>0</v>
      </c>
      <c r="L149" s="6" t="n">
        <v>4.4</v>
      </c>
      <c r="M149" s="5" t="n">
        <v>842439.67</v>
      </c>
      <c r="N149" s="5" t="n">
        <v>169983.63</v>
      </c>
    </row>
    <row r="150" customFormat="false" ht="15" hidden="false" customHeight="false" outlineLevel="0" collapsed="false">
      <c r="A150" s="7" t="s">
        <v>59</v>
      </c>
      <c r="B150" s="7" t="s">
        <v>21</v>
      </c>
      <c r="C150" s="7" t="s">
        <v>30</v>
      </c>
      <c r="D150" s="7" t="s">
        <v>24</v>
      </c>
      <c r="E150" s="8" t="n">
        <v>56517.9</v>
      </c>
      <c r="F150" s="7" t="n">
        <v>9574</v>
      </c>
      <c r="G150" s="7" t="n">
        <v>0.204</v>
      </c>
      <c r="H150" s="7" t="n">
        <v>20</v>
      </c>
      <c r="I150" s="7" t="n">
        <v>88.2</v>
      </c>
      <c r="J150" s="9" t="n">
        <v>5.37</v>
      </c>
      <c r="K150" s="7" t="n">
        <v>1</v>
      </c>
      <c r="L150" s="9" t="n">
        <v>4.9</v>
      </c>
      <c r="M150" s="8" t="n">
        <v>842157.92</v>
      </c>
      <c r="N150" s="8" t="n">
        <v>107348.22</v>
      </c>
    </row>
    <row r="151" customFormat="false" ht="15" hidden="false" customHeight="false" outlineLevel="0" collapsed="false">
      <c r="A151" s="4" t="s">
        <v>59</v>
      </c>
      <c r="B151" s="4" t="s">
        <v>22</v>
      </c>
      <c r="C151" s="4" t="s">
        <v>30</v>
      </c>
      <c r="D151" s="4" t="s">
        <v>24</v>
      </c>
      <c r="E151" s="5" t="n">
        <v>37828.5</v>
      </c>
      <c r="F151" s="4" t="n">
        <v>8221</v>
      </c>
      <c r="G151" s="4" t="n">
        <v>0.096</v>
      </c>
      <c r="H151" s="4" t="n">
        <v>19</v>
      </c>
      <c r="I151" s="4" t="n">
        <v>81.5</v>
      </c>
      <c r="J151" s="6" t="n">
        <v>3.19</v>
      </c>
      <c r="K151" s="4" t="n">
        <v>0</v>
      </c>
      <c r="L151" s="6" t="n">
        <v>4.8</v>
      </c>
      <c r="M151" s="5" t="n">
        <v>697155.3</v>
      </c>
      <c r="N151" s="5" t="n">
        <v>136408.54</v>
      </c>
    </row>
    <row r="152" customFormat="false" ht="15" hidden="false" customHeight="false" outlineLevel="0" collapsed="false">
      <c r="A152" s="7" t="s">
        <v>60</v>
      </c>
      <c r="B152" s="7" t="s">
        <v>17</v>
      </c>
      <c r="C152" s="7" t="s">
        <v>18</v>
      </c>
      <c r="D152" s="7" t="s">
        <v>24</v>
      </c>
      <c r="E152" s="8" t="n">
        <v>66250.53</v>
      </c>
      <c r="F152" s="7" t="n">
        <v>10618</v>
      </c>
      <c r="G152" s="7" t="n">
        <v>0.142</v>
      </c>
      <c r="H152" s="7" t="n">
        <v>27</v>
      </c>
      <c r="I152" s="7" t="n">
        <v>88.3</v>
      </c>
      <c r="J152" s="9" t="n">
        <v>1.1</v>
      </c>
      <c r="K152" s="7" t="n">
        <v>1</v>
      </c>
      <c r="L152" s="9" t="n">
        <v>4.4</v>
      </c>
      <c r="M152" s="8" t="n">
        <v>849018.3</v>
      </c>
      <c r="N152" s="8" t="n">
        <v>149035.13</v>
      </c>
    </row>
    <row r="153" customFormat="false" ht="15" hidden="false" customHeight="false" outlineLevel="0" collapsed="false">
      <c r="A153" s="4" t="s">
        <v>60</v>
      </c>
      <c r="B153" s="4" t="s">
        <v>20</v>
      </c>
      <c r="C153" s="4" t="s">
        <v>18</v>
      </c>
      <c r="D153" s="4" t="s">
        <v>24</v>
      </c>
      <c r="E153" s="5" t="n">
        <v>68410.93</v>
      </c>
      <c r="F153" s="4" t="n">
        <v>10596</v>
      </c>
      <c r="G153" s="4" t="n">
        <v>0.207</v>
      </c>
      <c r="H153" s="4" t="n">
        <v>25</v>
      </c>
      <c r="I153" s="4" t="n">
        <v>81.2</v>
      </c>
      <c r="J153" s="6" t="n">
        <v>0.21</v>
      </c>
      <c r="K153" s="4" t="n">
        <v>0</v>
      </c>
      <c r="L153" s="6" t="n">
        <v>4</v>
      </c>
      <c r="M153" s="5" t="n">
        <v>801830.35</v>
      </c>
      <c r="N153" s="5" t="n">
        <v>114875.32</v>
      </c>
    </row>
    <row r="154" customFormat="false" ht="15" hidden="false" customHeight="false" outlineLevel="0" collapsed="false">
      <c r="A154" s="7" t="s">
        <v>60</v>
      </c>
      <c r="B154" s="7" t="s">
        <v>21</v>
      </c>
      <c r="C154" s="7" t="s">
        <v>18</v>
      </c>
      <c r="D154" s="7" t="s">
        <v>24</v>
      </c>
      <c r="E154" s="8" t="n">
        <v>50735.63</v>
      </c>
      <c r="F154" s="7" t="n">
        <v>9619</v>
      </c>
      <c r="G154" s="7" t="n">
        <v>0.144</v>
      </c>
      <c r="H154" s="7" t="n">
        <v>19</v>
      </c>
      <c r="I154" s="7" t="n">
        <v>93.8</v>
      </c>
      <c r="J154" s="9" t="n">
        <v>5.12</v>
      </c>
      <c r="K154" s="7" t="n">
        <v>1</v>
      </c>
      <c r="L154" s="9" t="n">
        <v>4.5</v>
      </c>
      <c r="M154" s="8" t="n">
        <v>725235.28</v>
      </c>
      <c r="N154" s="8" t="n">
        <v>121632.24</v>
      </c>
    </row>
    <row r="155" customFormat="false" ht="15" hidden="false" customHeight="false" outlineLevel="0" collapsed="false">
      <c r="A155" s="4" t="s">
        <v>60</v>
      </c>
      <c r="B155" s="4" t="s">
        <v>22</v>
      </c>
      <c r="C155" s="4" t="s">
        <v>18</v>
      </c>
      <c r="D155" s="4" t="s">
        <v>24</v>
      </c>
      <c r="E155" s="5" t="n">
        <v>66455.8</v>
      </c>
      <c r="F155" s="4" t="n">
        <v>10836</v>
      </c>
      <c r="G155" s="4" t="n">
        <v>0.089</v>
      </c>
      <c r="H155" s="4" t="n">
        <v>25</v>
      </c>
      <c r="I155" s="4" t="n">
        <v>85</v>
      </c>
      <c r="J155" s="6" t="n">
        <v>9.77</v>
      </c>
      <c r="K155" s="4" t="n">
        <v>0</v>
      </c>
      <c r="L155" s="6" t="n">
        <v>4.5</v>
      </c>
      <c r="M155" s="5" t="n">
        <v>811452.72</v>
      </c>
      <c r="N155" s="5" t="n">
        <v>131325.67</v>
      </c>
    </row>
    <row r="156" customFormat="false" ht="15" hidden="false" customHeight="false" outlineLevel="0" collapsed="false">
      <c r="A156" s="7" t="s">
        <v>61</v>
      </c>
      <c r="B156" s="7" t="s">
        <v>17</v>
      </c>
      <c r="C156" s="7" t="s">
        <v>26</v>
      </c>
      <c r="D156" s="7" t="s">
        <v>24</v>
      </c>
      <c r="E156" s="8" t="n">
        <v>70276.28</v>
      </c>
      <c r="F156" s="7" t="n">
        <v>3043</v>
      </c>
      <c r="G156" s="7" t="n">
        <v>0.079</v>
      </c>
      <c r="H156" s="7" t="n">
        <v>9</v>
      </c>
      <c r="I156" s="7" t="n">
        <v>87.9</v>
      </c>
      <c r="J156" s="9" t="n">
        <v>3.77</v>
      </c>
      <c r="K156" s="7" t="n">
        <v>0</v>
      </c>
      <c r="L156" s="9" t="n">
        <v>4.4</v>
      </c>
      <c r="M156" s="8" t="n">
        <v>527300.13</v>
      </c>
      <c r="N156" s="8" t="n">
        <v>84197.87</v>
      </c>
    </row>
    <row r="157" customFormat="false" ht="15" hidden="false" customHeight="false" outlineLevel="0" collapsed="false">
      <c r="A157" s="4" t="s">
        <v>61</v>
      </c>
      <c r="B157" s="4" t="s">
        <v>20</v>
      </c>
      <c r="C157" s="4" t="s">
        <v>26</v>
      </c>
      <c r="D157" s="4" t="s">
        <v>24</v>
      </c>
      <c r="E157" s="5" t="n">
        <v>22071.64</v>
      </c>
      <c r="F157" s="4" t="n">
        <v>1814</v>
      </c>
      <c r="G157" s="4" t="n">
        <v>0.196</v>
      </c>
      <c r="H157" s="4" t="n">
        <v>8</v>
      </c>
      <c r="I157" s="4" t="n">
        <v>81.1</v>
      </c>
      <c r="J157" s="6" t="n">
        <v>0.78</v>
      </c>
      <c r="K157" s="4" t="n">
        <v>0</v>
      </c>
      <c r="L157" s="6" t="n">
        <v>3.9</v>
      </c>
      <c r="M157" s="5" t="n">
        <v>400831.65</v>
      </c>
      <c r="N157" s="5" t="n">
        <v>70979.31</v>
      </c>
    </row>
    <row r="158" customFormat="false" ht="15" hidden="false" customHeight="false" outlineLevel="0" collapsed="false">
      <c r="A158" s="7" t="s">
        <v>61</v>
      </c>
      <c r="B158" s="7" t="s">
        <v>21</v>
      </c>
      <c r="C158" s="7" t="s">
        <v>26</v>
      </c>
      <c r="D158" s="7" t="s">
        <v>24</v>
      </c>
      <c r="E158" s="8" t="n">
        <v>52285.45</v>
      </c>
      <c r="F158" s="7" t="n">
        <v>3618</v>
      </c>
      <c r="G158" s="7" t="n">
        <v>0.086</v>
      </c>
      <c r="H158" s="7" t="n">
        <v>11</v>
      </c>
      <c r="I158" s="7" t="n">
        <v>95.6</v>
      </c>
      <c r="J158" s="9" t="n">
        <v>5.17</v>
      </c>
      <c r="K158" s="7" t="n">
        <v>1</v>
      </c>
      <c r="L158" s="9" t="n">
        <v>4.4</v>
      </c>
      <c r="M158" s="8" t="n">
        <v>593247.25</v>
      </c>
      <c r="N158" s="8" t="n">
        <v>81240.29</v>
      </c>
    </row>
    <row r="159" customFormat="false" ht="15" hidden="false" customHeight="false" outlineLevel="0" collapsed="false">
      <c r="A159" s="4" t="s">
        <v>61</v>
      </c>
      <c r="B159" s="4" t="s">
        <v>22</v>
      </c>
      <c r="C159" s="4" t="s">
        <v>26</v>
      </c>
      <c r="D159" s="4" t="s">
        <v>24</v>
      </c>
      <c r="E159" s="5" t="n">
        <v>70366.76</v>
      </c>
      <c r="F159" s="4" t="n">
        <v>1963</v>
      </c>
      <c r="G159" s="4" t="n">
        <v>0.182</v>
      </c>
      <c r="H159" s="4" t="n">
        <v>8</v>
      </c>
      <c r="I159" s="4" t="n">
        <v>89.8</v>
      </c>
      <c r="J159" s="6" t="n">
        <v>3.2</v>
      </c>
      <c r="K159" s="4" t="n">
        <v>0</v>
      </c>
      <c r="L159" s="6" t="n">
        <v>4.6</v>
      </c>
      <c r="M159" s="5" t="n">
        <v>529075.95</v>
      </c>
      <c r="N159" s="5" t="n">
        <v>95978.83</v>
      </c>
    </row>
    <row r="160" customFormat="false" ht="15" hidden="false" customHeight="false" outlineLevel="0" collapsed="false">
      <c r="A160" s="7" t="s">
        <v>62</v>
      </c>
      <c r="B160" s="7" t="s">
        <v>17</v>
      </c>
      <c r="C160" s="7" t="s">
        <v>30</v>
      </c>
      <c r="D160" s="7" t="s">
        <v>19</v>
      </c>
      <c r="E160" s="8" t="n">
        <v>71320.66</v>
      </c>
      <c r="F160" s="7" t="n">
        <v>7888</v>
      </c>
      <c r="G160" s="7" t="n">
        <v>0.048</v>
      </c>
      <c r="H160" s="7" t="n">
        <v>20</v>
      </c>
      <c r="I160" s="7" t="n">
        <v>78.1</v>
      </c>
      <c r="J160" s="9" t="n">
        <v>3.4</v>
      </c>
      <c r="K160" s="7" t="n">
        <v>0</v>
      </c>
      <c r="L160" s="9" t="n">
        <v>4</v>
      </c>
      <c r="M160" s="8" t="n">
        <v>633638.03</v>
      </c>
      <c r="N160" s="8" t="n">
        <v>99402.01</v>
      </c>
    </row>
    <row r="161" customFormat="false" ht="15" hidden="false" customHeight="false" outlineLevel="0" collapsed="false">
      <c r="A161" s="4" t="s">
        <v>62</v>
      </c>
      <c r="B161" s="4" t="s">
        <v>20</v>
      </c>
      <c r="C161" s="4" t="s">
        <v>30</v>
      </c>
      <c r="D161" s="4" t="s">
        <v>19</v>
      </c>
      <c r="E161" s="5" t="n">
        <v>75109.67</v>
      </c>
      <c r="F161" s="4" t="n">
        <v>6244</v>
      </c>
      <c r="G161" s="4" t="n">
        <v>0.079</v>
      </c>
      <c r="H161" s="4" t="n">
        <v>15</v>
      </c>
      <c r="I161" s="4" t="n">
        <v>96.3</v>
      </c>
      <c r="J161" s="6" t="n">
        <v>7.38</v>
      </c>
      <c r="K161" s="4" t="n">
        <v>0</v>
      </c>
      <c r="L161" s="6" t="n">
        <v>3.7</v>
      </c>
      <c r="M161" s="5" t="n">
        <v>743348.84</v>
      </c>
      <c r="N161" s="5" t="n">
        <v>104186.09</v>
      </c>
    </row>
    <row r="162" customFormat="false" ht="15" hidden="false" customHeight="false" outlineLevel="0" collapsed="false">
      <c r="A162" s="7" t="s">
        <v>62</v>
      </c>
      <c r="B162" s="7" t="s">
        <v>21</v>
      </c>
      <c r="C162" s="7" t="s">
        <v>30</v>
      </c>
      <c r="D162" s="7" t="s">
        <v>19</v>
      </c>
      <c r="E162" s="8" t="n">
        <v>69779</v>
      </c>
      <c r="F162" s="7" t="n">
        <v>6544</v>
      </c>
      <c r="G162" s="7" t="n">
        <v>0.152</v>
      </c>
      <c r="H162" s="7" t="n">
        <v>18</v>
      </c>
      <c r="I162" s="7" t="n">
        <v>90.2</v>
      </c>
      <c r="J162" s="9" t="n">
        <v>0.85</v>
      </c>
      <c r="K162" s="7" t="n">
        <v>1</v>
      </c>
      <c r="L162" s="9" t="n">
        <v>3.3</v>
      </c>
      <c r="M162" s="8" t="n">
        <v>758827.64</v>
      </c>
      <c r="N162" s="8" t="n">
        <v>161439.48</v>
      </c>
    </row>
    <row r="163" customFormat="false" ht="15" hidden="false" customHeight="false" outlineLevel="0" collapsed="false">
      <c r="A163" s="4" t="s">
        <v>62</v>
      </c>
      <c r="B163" s="4" t="s">
        <v>22</v>
      </c>
      <c r="C163" s="4" t="s">
        <v>30</v>
      </c>
      <c r="D163" s="4" t="s">
        <v>19</v>
      </c>
      <c r="E163" s="5" t="n">
        <v>44211.95</v>
      </c>
      <c r="F163" s="4" t="n">
        <v>5465</v>
      </c>
      <c r="G163" s="4" t="n">
        <v>0.187</v>
      </c>
      <c r="H163" s="4" t="n">
        <v>12</v>
      </c>
      <c r="I163" s="4" t="n">
        <v>90</v>
      </c>
      <c r="J163" s="6" t="n">
        <v>2.89</v>
      </c>
      <c r="K163" s="4" t="n">
        <v>0</v>
      </c>
      <c r="L163" s="6" t="n">
        <v>3.6</v>
      </c>
      <c r="M163" s="5" t="n">
        <v>646559.71</v>
      </c>
      <c r="N163" s="5" t="n">
        <v>97981.75</v>
      </c>
    </row>
    <row r="164" customFormat="false" ht="15" hidden="false" customHeight="false" outlineLevel="0" collapsed="false">
      <c r="A164" s="7" t="s">
        <v>63</v>
      </c>
      <c r="B164" s="7" t="s">
        <v>17</v>
      </c>
      <c r="C164" s="7" t="s">
        <v>33</v>
      </c>
      <c r="D164" s="7" t="s">
        <v>24</v>
      </c>
      <c r="E164" s="8" t="n">
        <v>51430.31</v>
      </c>
      <c r="F164" s="7" t="n">
        <v>6427</v>
      </c>
      <c r="G164" s="7" t="n">
        <v>0.234</v>
      </c>
      <c r="H164" s="7" t="n">
        <v>14</v>
      </c>
      <c r="I164" s="7" t="n">
        <v>88.8</v>
      </c>
      <c r="J164" s="9" t="n">
        <v>0.77</v>
      </c>
      <c r="K164" s="7" t="n">
        <v>0</v>
      </c>
      <c r="L164" s="9" t="n">
        <v>4.1</v>
      </c>
      <c r="M164" s="8" t="n">
        <v>715890.53</v>
      </c>
      <c r="N164" s="8" t="n">
        <v>109032.15</v>
      </c>
    </row>
    <row r="165" customFormat="false" ht="15" hidden="false" customHeight="false" outlineLevel="0" collapsed="false">
      <c r="A165" s="4" t="s">
        <v>63</v>
      </c>
      <c r="B165" s="4" t="s">
        <v>20</v>
      </c>
      <c r="C165" s="4" t="s">
        <v>33</v>
      </c>
      <c r="D165" s="4" t="s">
        <v>24</v>
      </c>
      <c r="E165" s="5" t="n">
        <v>45706.49</v>
      </c>
      <c r="F165" s="4" t="n">
        <v>6704</v>
      </c>
      <c r="G165" s="4" t="n">
        <v>0.038</v>
      </c>
      <c r="H165" s="4" t="n">
        <v>15</v>
      </c>
      <c r="I165" s="4" t="n">
        <v>94.2</v>
      </c>
      <c r="J165" s="6" t="n">
        <v>2.92</v>
      </c>
      <c r="K165" s="4" t="n">
        <v>0</v>
      </c>
      <c r="L165" s="6" t="n">
        <v>4.2</v>
      </c>
      <c r="M165" s="5" t="n">
        <v>715097.57</v>
      </c>
      <c r="N165" s="5" t="n">
        <v>151875.86</v>
      </c>
    </row>
    <row r="166" customFormat="false" ht="15" hidden="false" customHeight="false" outlineLevel="0" collapsed="false">
      <c r="A166" s="7" t="s">
        <v>63</v>
      </c>
      <c r="B166" s="7" t="s">
        <v>21</v>
      </c>
      <c r="C166" s="7" t="s">
        <v>33</v>
      </c>
      <c r="D166" s="7" t="s">
        <v>24</v>
      </c>
      <c r="E166" s="8" t="n">
        <v>44034.6</v>
      </c>
      <c r="F166" s="7" t="n">
        <v>5645</v>
      </c>
      <c r="G166" s="7" t="n">
        <v>0.069</v>
      </c>
      <c r="H166" s="7" t="n">
        <v>18</v>
      </c>
      <c r="I166" s="7" t="n">
        <v>88.5</v>
      </c>
      <c r="J166" s="9" t="n">
        <v>3.07</v>
      </c>
      <c r="K166" s="7" t="n">
        <v>0</v>
      </c>
      <c r="L166" s="9" t="n">
        <v>3.8</v>
      </c>
      <c r="M166" s="8" t="n">
        <v>682639.28</v>
      </c>
      <c r="N166" s="8" t="n">
        <v>77557.53</v>
      </c>
    </row>
    <row r="167" customFormat="false" ht="15" hidden="false" customHeight="false" outlineLevel="0" collapsed="false">
      <c r="A167" s="4" t="s">
        <v>63</v>
      </c>
      <c r="B167" s="4" t="s">
        <v>22</v>
      </c>
      <c r="C167" s="4" t="s">
        <v>33</v>
      </c>
      <c r="D167" s="4" t="s">
        <v>24</v>
      </c>
      <c r="E167" s="5" t="n">
        <v>50198.12</v>
      </c>
      <c r="F167" s="4" t="n">
        <v>6089</v>
      </c>
      <c r="G167" s="4" t="n">
        <v>0.182</v>
      </c>
      <c r="H167" s="4" t="n">
        <v>19</v>
      </c>
      <c r="I167" s="4" t="n">
        <v>94</v>
      </c>
      <c r="J167" s="6" t="n">
        <v>9.7</v>
      </c>
      <c r="K167" s="4" t="n">
        <v>0</v>
      </c>
      <c r="L167" s="6" t="n">
        <v>3.9</v>
      </c>
      <c r="M167" s="5" t="n">
        <v>695098.51</v>
      </c>
      <c r="N167" s="5" t="n">
        <v>108192.75</v>
      </c>
    </row>
    <row r="168" customFormat="false" ht="15" hidden="false" customHeight="false" outlineLevel="0" collapsed="false">
      <c r="A168" s="7" t="s">
        <v>64</v>
      </c>
      <c r="B168" s="7" t="s">
        <v>17</v>
      </c>
      <c r="C168" s="7" t="s">
        <v>26</v>
      </c>
      <c r="D168" s="7" t="s">
        <v>19</v>
      </c>
      <c r="E168" s="8" t="n">
        <v>70488.2</v>
      </c>
      <c r="F168" s="7" t="n">
        <v>4312</v>
      </c>
      <c r="G168" s="7" t="n">
        <v>0.169</v>
      </c>
      <c r="H168" s="7" t="n">
        <v>12</v>
      </c>
      <c r="I168" s="7" t="n">
        <v>90.2</v>
      </c>
      <c r="J168" s="9" t="n">
        <v>3.71</v>
      </c>
      <c r="K168" s="7" t="n">
        <v>0</v>
      </c>
      <c r="L168" s="9" t="n">
        <v>3.2</v>
      </c>
      <c r="M168" s="8" t="n">
        <v>577732.57</v>
      </c>
      <c r="N168" s="8" t="n">
        <v>93804.27</v>
      </c>
    </row>
    <row r="169" customFormat="false" ht="15" hidden="false" customHeight="false" outlineLevel="0" collapsed="false">
      <c r="A169" s="4" t="s">
        <v>64</v>
      </c>
      <c r="B169" s="4" t="s">
        <v>20</v>
      </c>
      <c r="C169" s="4" t="s">
        <v>26</v>
      </c>
      <c r="D169" s="4" t="s">
        <v>19</v>
      </c>
      <c r="E169" s="5" t="n">
        <v>50909.27</v>
      </c>
      <c r="F169" s="4" t="n">
        <v>3152</v>
      </c>
      <c r="G169" s="4" t="n">
        <v>0.06</v>
      </c>
      <c r="H169" s="4" t="n">
        <v>13</v>
      </c>
      <c r="I169" s="4" t="n">
        <v>93.7</v>
      </c>
      <c r="J169" s="6" t="n">
        <v>10.79</v>
      </c>
      <c r="K169" s="4" t="n">
        <v>0</v>
      </c>
      <c r="L169" s="6" t="n">
        <v>3.5</v>
      </c>
      <c r="M169" s="5" t="n">
        <v>537058.33</v>
      </c>
      <c r="N169" s="5" t="n">
        <v>93555.71</v>
      </c>
    </row>
    <row r="170" customFormat="false" ht="15" hidden="false" customHeight="false" outlineLevel="0" collapsed="false">
      <c r="A170" s="7" t="s">
        <v>64</v>
      </c>
      <c r="B170" s="7" t="s">
        <v>21</v>
      </c>
      <c r="C170" s="7" t="s">
        <v>26</v>
      </c>
      <c r="D170" s="7" t="s">
        <v>19</v>
      </c>
      <c r="E170" s="8" t="n">
        <v>53351.7</v>
      </c>
      <c r="F170" s="7" t="n">
        <v>4259</v>
      </c>
      <c r="G170" s="7" t="n">
        <v>0.156</v>
      </c>
      <c r="H170" s="7" t="n">
        <v>15</v>
      </c>
      <c r="I170" s="7" t="n">
        <v>93.7</v>
      </c>
      <c r="J170" s="9" t="n">
        <v>6.03</v>
      </c>
      <c r="K170" s="7" t="n">
        <v>0</v>
      </c>
      <c r="L170" s="9" t="n">
        <v>3.4</v>
      </c>
      <c r="M170" s="8" t="n">
        <v>601568.87</v>
      </c>
      <c r="N170" s="8" t="n">
        <v>91634.82</v>
      </c>
    </row>
    <row r="171" customFormat="false" ht="15" hidden="false" customHeight="false" outlineLevel="0" collapsed="false">
      <c r="A171" s="4" t="s">
        <v>64</v>
      </c>
      <c r="B171" s="4" t="s">
        <v>22</v>
      </c>
      <c r="C171" s="4" t="s">
        <v>26</v>
      </c>
      <c r="D171" s="4" t="s">
        <v>19</v>
      </c>
      <c r="E171" s="5" t="n">
        <v>60322.4</v>
      </c>
      <c r="F171" s="4" t="n">
        <v>3350</v>
      </c>
      <c r="G171" s="4" t="n">
        <v>0.108</v>
      </c>
      <c r="H171" s="4" t="n">
        <v>12</v>
      </c>
      <c r="I171" s="4" t="n">
        <v>89.4</v>
      </c>
      <c r="J171" s="6" t="n">
        <v>4.92</v>
      </c>
      <c r="K171" s="4" t="n">
        <v>0</v>
      </c>
      <c r="L171" s="6" t="n">
        <v>3.4</v>
      </c>
      <c r="M171" s="5" t="n">
        <v>570964.84</v>
      </c>
      <c r="N171" s="5" t="n">
        <v>81331.07</v>
      </c>
    </row>
    <row r="172" customFormat="false" ht="15" hidden="false" customHeight="false" outlineLevel="0" collapsed="false">
      <c r="A172" s="7" t="s">
        <v>65</v>
      </c>
      <c r="B172" s="7" t="s">
        <v>17</v>
      </c>
      <c r="C172" s="7" t="s">
        <v>30</v>
      </c>
      <c r="D172" s="7" t="s">
        <v>34</v>
      </c>
      <c r="E172" s="8" t="n">
        <v>51575.68</v>
      </c>
      <c r="F172" s="7" t="n">
        <v>5329</v>
      </c>
      <c r="G172" s="7" t="n">
        <v>0.047</v>
      </c>
      <c r="H172" s="7" t="n">
        <v>17</v>
      </c>
      <c r="I172" s="7" t="n">
        <v>88.1</v>
      </c>
      <c r="J172" s="9" t="n">
        <v>19.78</v>
      </c>
      <c r="K172" s="7" t="n">
        <v>0</v>
      </c>
      <c r="L172" s="9" t="n">
        <v>3.8</v>
      </c>
      <c r="M172" s="8" t="n">
        <v>614024.91</v>
      </c>
      <c r="N172" s="8" t="n">
        <v>84828.93</v>
      </c>
    </row>
    <row r="173" customFormat="false" ht="15" hidden="false" customHeight="false" outlineLevel="0" collapsed="false">
      <c r="A173" s="4" t="s">
        <v>65</v>
      </c>
      <c r="B173" s="4" t="s">
        <v>20</v>
      </c>
      <c r="C173" s="4" t="s">
        <v>30</v>
      </c>
      <c r="D173" s="4" t="s">
        <v>34</v>
      </c>
      <c r="E173" s="5" t="n">
        <v>43319.94</v>
      </c>
      <c r="F173" s="4" t="n">
        <v>6551</v>
      </c>
      <c r="G173" s="4" t="n">
        <v>0.044</v>
      </c>
      <c r="H173" s="4" t="n">
        <v>13</v>
      </c>
      <c r="I173" s="4" t="n">
        <v>99</v>
      </c>
      <c r="J173" s="6" t="n">
        <v>5.45</v>
      </c>
      <c r="K173" s="4" t="n">
        <v>0</v>
      </c>
      <c r="L173" s="6" t="n">
        <v>4.1</v>
      </c>
      <c r="M173" s="5" t="n">
        <v>712868.35</v>
      </c>
      <c r="N173" s="5" t="n">
        <v>133650.51</v>
      </c>
    </row>
    <row r="174" customFormat="false" ht="15" hidden="false" customHeight="false" outlineLevel="0" collapsed="false">
      <c r="A174" s="7" t="s">
        <v>65</v>
      </c>
      <c r="B174" s="7" t="s">
        <v>21</v>
      </c>
      <c r="C174" s="7" t="s">
        <v>30</v>
      </c>
      <c r="D174" s="7" t="s">
        <v>34</v>
      </c>
      <c r="E174" s="8" t="n">
        <v>47093.55</v>
      </c>
      <c r="F174" s="7" t="n">
        <v>5550</v>
      </c>
      <c r="G174" s="7" t="n">
        <v>0.1</v>
      </c>
      <c r="H174" s="7" t="n">
        <v>12</v>
      </c>
      <c r="I174" s="7" t="n">
        <v>95</v>
      </c>
      <c r="J174" s="9" t="n">
        <v>2.33</v>
      </c>
      <c r="K174" s="7" t="n">
        <v>1</v>
      </c>
      <c r="L174" s="9" t="n">
        <v>3.7</v>
      </c>
      <c r="M174" s="8" t="n">
        <v>696744.15</v>
      </c>
      <c r="N174" s="8" t="n">
        <v>152230.09</v>
      </c>
    </row>
    <row r="175" customFormat="false" ht="15" hidden="false" customHeight="false" outlineLevel="0" collapsed="false">
      <c r="A175" s="4" t="s">
        <v>65</v>
      </c>
      <c r="B175" s="4" t="s">
        <v>22</v>
      </c>
      <c r="C175" s="4" t="s">
        <v>30</v>
      </c>
      <c r="D175" s="4" t="s">
        <v>34</v>
      </c>
      <c r="E175" s="5" t="n">
        <v>71855.09</v>
      </c>
      <c r="F175" s="4" t="n">
        <v>5911</v>
      </c>
      <c r="G175" s="4" t="n">
        <v>0.197</v>
      </c>
      <c r="H175" s="4" t="n">
        <v>15</v>
      </c>
      <c r="I175" s="4" t="n">
        <v>94.3</v>
      </c>
      <c r="J175" s="6" t="n">
        <v>3.55</v>
      </c>
      <c r="K175" s="4" t="n">
        <v>0</v>
      </c>
      <c r="L175" s="6" t="n">
        <v>4.1</v>
      </c>
      <c r="M175" s="5" t="n">
        <v>725847.99</v>
      </c>
      <c r="N175" s="5" t="n">
        <v>122698.73</v>
      </c>
    </row>
    <row r="176" customFormat="false" ht="15" hidden="false" customHeight="false" outlineLevel="0" collapsed="false">
      <c r="A176" s="7" t="s">
        <v>66</v>
      </c>
      <c r="B176" s="7" t="s">
        <v>17</v>
      </c>
      <c r="C176" s="7" t="s">
        <v>18</v>
      </c>
      <c r="D176" s="7" t="s">
        <v>24</v>
      </c>
      <c r="E176" s="8" t="n">
        <v>75645.23</v>
      </c>
      <c r="F176" s="7" t="n">
        <v>9674</v>
      </c>
      <c r="G176" s="7" t="n">
        <v>0.234</v>
      </c>
      <c r="H176" s="7" t="n">
        <v>21</v>
      </c>
      <c r="I176" s="7" t="n">
        <v>87.4</v>
      </c>
      <c r="J176" s="9" t="n">
        <v>0.2</v>
      </c>
      <c r="K176" s="7" t="n">
        <v>0</v>
      </c>
      <c r="L176" s="9" t="n">
        <v>4.5</v>
      </c>
      <c r="M176" s="8" t="n">
        <v>785028.25</v>
      </c>
      <c r="N176" s="8" t="n">
        <v>110726.44</v>
      </c>
    </row>
    <row r="177" customFormat="false" ht="15" hidden="false" customHeight="false" outlineLevel="0" collapsed="false">
      <c r="A177" s="4" t="s">
        <v>66</v>
      </c>
      <c r="B177" s="4" t="s">
        <v>20</v>
      </c>
      <c r="C177" s="4" t="s">
        <v>18</v>
      </c>
      <c r="D177" s="4" t="s">
        <v>24</v>
      </c>
      <c r="E177" s="5" t="n">
        <v>64374.75</v>
      </c>
      <c r="F177" s="4" t="n">
        <v>6740</v>
      </c>
      <c r="G177" s="4" t="n">
        <v>0.169</v>
      </c>
      <c r="H177" s="4" t="n">
        <v>18</v>
      </c>
      <c r="I177" s="4" t="n">
        <v>87</v>
      </c>
      <c r="J177" s="6" t="n">
        <v>2.09</v>
      </c>
      <c r="K177" s="4" t="n">
        <v>0</v>
      </c>
      <c r="L177" s="6" t="n">
        <v>4.2</v>
      </c>
      <c r="M177" s="5" t="n">
        <v>698492.67</v>
      </c>
      <c r="N177" s="5" t="n">
        <v>117319.32</v>
      </c>
    </row>
    <row r="178" customFormat="false" ht="15" hidden="false" customHeight="false" outlineLevel="0" collapsed="false">
      <c r="A178" s="7" t="s">
        <v>66</v>
      </c>
      <c r="B178" s="7" t="s">
        <v>21</v>
      </c>
      <c r="C178" s="7" t="s">
        <v>18</v>
      </c>
      <c r="D178" s="7" t="s">
        <v>24</v>
      </c>
      <c r="E178" s="8" t="n">
        <v>61433.84</v>
      </c>
      <c r="F178" s="7" t="n">
        <v>7745</v>
      </c>
      <c r="G178" s="7" t="n">
        <v>0.18</v>
      </c>
      <c r="H178" s="7" t="n">
        <v>16</v>
      </c>
      <c r="I178" s="7" t="n">
        <v>90.5</v>
      </c>
      <c r="J178" s="9" t="n">
        <v>2.26</v>
      </c>
      <c r="K178" s="7" t="n">
        <v>0</v>
      </c>
      <c r="L178" s="9" t="n">
        <v>4.2</v>
      </c>
      <c r="M178" s="8" t="n">
        <v>685830.24</v>
      </c>
      <c r="N178" s="8" t="n">
        <v>128736.18</v>
      </c>
    </row>
    <row r="179" customFormat="false" ht="15" hidden="false" customHeight="false" outlineLevel="0" collapsed="false">
      <c r="A179" s="4" t="s">
        <v>66</v>
      </c>
      <c r="B179" s="4" t="s">
        <v>22</v>
      </c>
      <c r="C179" s="4" t="s">
        <v>18</v>
      </c>
      <c r="D179" s="4" t="s">
        <v>24</v>
      </c>
      <c r="E179" s="5" t="n">
        <v>42698.14</v>
      </c>
      <c r="F179" s="4" t="n">
        <v>7693</v>
      </c>
      <c r="G179" s="4" t="n">
        <v>0.187</v>
      </c>
      <c r="H179" s="4" t="n">
        <v>19</v>
      </c>
      <c r="I179" s="4" t="n">
        <v>90.1</v>
      </c>
      <c r="J179" s="6" t="n">
        <v>0.44</v>
      </c>
      <c r="K179" s="4" t="n">
        <v>0</v>
      </c>
      <c r="L179" s="6" t="n">
        <v>4.4</v>
      </c>
      <c r="M179" s="5" t="n">
        <v>702318.94</v>
      </c>
      <c r="N179" s="5" t="n">
        <v>112829.29</v>
      </c>
    </row>
    <row r="180" customFormat="false" ht="15" hidden="false" customHeight="false" outlineLevel="0" collapsed="false">
      <c r="A180" s="7" t="s">
        <v>67</v>
      </c>
      <c r="B180" s="7" t="s">
        <v>17</v>
      </c>
      <c r="C180" s="7" t="s">
        <v>26</v>
      </c>
      <c r="D180" s="7" t="s">
        <v>34</v>
      </c>
      <c r="E180" s="8" t="n">
        <v>86883.31</v>
      </c>
      <c r="F180" s="7" t="n">
        <v>6424</v>
      </c>
      <c r="G180" s="7" t="n">
        <v>0.057</v>
      </c>
      <c r="H180" s="7" t="n">
        <v>19</v>
      </c>
      <c r="I180" s="7" t="n">
        <v>85.2</v>
      </c>
      <c r="J180" s="9" t="n">
        <v>3.08</v>
      </c>
      <c r="K180" s="7" t="n">
        <v>0</v>
      </c>
      <c r="L180" s="9" t="n">
        <v>3.9</v>
      </c>
      <c r="M180" s="8" t="n">
        <v>700078.32</v>
      </c>
      <c r="N180" s="8" t="n">
        <v>123707.58</v>
      </c>
    </row>
    <row r="181" customFormat="false" ht="15" hidden="false" customHeight="false" outlineLevel="0" collapsed="false">
      <c r="A181" s="4" t="s">
        <v>67</v>
      </c>
      <c r="B181" s="4" t="s">
        <v>20</v>
      </c>
      <c r="C181" s="4" t="s">
        <v>26</v>
      </c>
      <c r="D181" s="4" t="s">
        <v>34</v>
      </c>
      <c r="E181" s="5" t="n">
        <v>41863.08</v>
      </c>
      <c r="F181" s="4" t="n">
        <v>5400</v>
      </c>
      <c r="G181" s="4" t="n">
        <v>0.114</v>
      </c>
      <c r="H181" s="4" t="n">
        <v>11</v>
      </c>
      <c r="I181" s="4" t="n">
        <v>91.6</v>
      </c>
      <c r="J181" s="6" t="n">
        <v>7.99</v>
      </c>
      <c r="K181" s="4" t="n">
        <v>0</v>
      </c>
      <c r="L181" s="6" t="n">
        <v>3</v>
      </c>
      <c r="M181" s="5" t="n">
        <v>602002.32</v>
      </c>
      <c r="N181" s="5" t="n">
        <v>110453.28</v>
      </c>
    </row>
    <row r="182" customFormat="false" ht="15" hidden="false" customHeight="false" outlineLevel="0" collapsed="false">
      <c r="A182" s="7" t="s">
        <v>67</v>
      </c>
      <c r="B182" s="7" t="s">
        <v>21</v>
      </c>
      <c r="C182" s="7" t="s">
        <v>26</v>
      </c>
      <c r="D182" s="7" t="s">
        <v>34</v>
      </c>
      <c r="E182" s="8" t="n">
        <v>56918.16</v>
      </c>
      <c r="F182" s="7" t="n">
        <v>7015</v>
      </c>
      <c r="G182" s="7" t="n">
        <v>0.158</v>
      </c>
      <c r="H182" s="7" t="n">
        <v>18</v>
      </c>
      <c r="I182" s="7" t="n">
        <v>74.2</v>
      </c>
      <c r="J182" s="9" t="n">
        <v>0.2</v>
      </c>
      <c r="K182" s="7" t="n">
        <v>0</v>
      </c>
      <c r="L182" s="9" t="n">
        <v>3.4</v>
      </c>
      <c r="M182" s="8" t="n">
        <v>724216.07</v>
      </c>
      <c r="N182" s="8" t="n">
        <v>100627.56</v>
      </c>
    </row>
    <row r="183" customFormat="false" ht="15" hidden="false" customHeight="false" outlineLevel="0" collapsed="false">
      <c r="A183" s="4" t="s">
        <v>67</v>
      </c>
      <c r="B183" s="4" t="s">
        <v>22</v>
      </c>
      <c r="C183" s="4" t="s">
        <v>26</v>
      </c>
      <c r="D183" s="4" t="s">
        <v>34</v>
      </c>
      <c r="E183" s="5" t="n">
        <v>23254.57</v>
      </c>
      <c r="F183" s="4" t="n">
        <v>3847</v>
      </c>
      <c r="G183" s="4" t="n">
        <v>0.159</v>
      </c>
      <c r="H183" s="4" t="n">
        <v>12</v>
      </c>
      <c r="I183" s="4" t="n">
        <v>93</v>
      </c>
      <c r="J183" s="6" t="n">
        <v>5.46</v>
      </c>
      <c r="K183" s="4" t="n">
        <v>0</v>
      </c>
      <c r="L183" s="6" t="n">
        <v>3.3</v>
      </c>
      <c r="M183" s="5" t="n">
        <v>620973.03</v>
      </c>
      <c r="N183" s="5" t="n">
        <v>72303.85</v>
      </c>
    </row>
    <row r="184" customFormat="false" ht="15" hidden="false" customHeight="false" outlineLevel="0" collapsed="false">
      <c r="A184" s="7" t="s">
        <v>68</v>
      </c>
      <c r="B184" s="7" t="s">
        <v>17</v>
      </c>
      <c r="C184" s="7" t="s">
        <v>30</v>
      </c>
      <c r="D184" s="7" t="s">
        <v>24</v>
      </c>
      <c r="E184" s="8" t="n">
        <v>41443.41</v>
      </c>
      <c r="F184" s="7" t="n">
        <v>7455</v>
      </c>
      <c r="G184" s="7" t="n">
        <v>0.175</v>
      </c>
      <c r="H184" s="7" t="n">
        <v>16</v>
      </c>
      <c r="I184" s="7" t="n">
        <v>90.1</v>
      </c>
      <c r="J184" s="9" t="n">
        <v>4.05</v>
      </c>
      <c r="K184" s="7" t="n">
        <v>0</v>
      </c>
      <c r="L184" s="9" t="n">
        <v>4</v>
      </c>
      <c r="M184" s="8" t="n">
        <v>650480.06</v>
      </c>
      <c r="N184" s="8" t="n">
        <v>109012.07</v>
      </c>
    </row>
    <row r="185" customFormat="false" ht="15" hidden="false" customHeight="false" outlineLevel="0" collapsed="false">
      <c r="A185" s="4" t="s">
        <v>68</v>
      </c>
      <c r="B185" s="4" t="s">
        <v>20</v>
      </c>
      <c r="C185" s="4" t="s">
        <v>30</v>
      </c>
      <c r="D185" s="4" t="s">
        <v>24</v>
      </c>
      <c r="E185" s="5" t="n">
        <v>48438.85</v>
      </c>
      <c r="F185" s="4" t="n">
        <v>6992</v>
      </c>
      <c r="G185" s="4" t="n">
        <v>0.034</v>
      </c>
      <c r="H185" s="4" t="n">
        <v>20</v>
      </c>
      <c r="I185" s="4" t="n">
        <v>91</v>
      </c>
      <c r="J185" s="6" t="n">
        <v>4.36</v>
      </c>
      <c r="K185" s="4" t="n">
        <v>0</v>
      </c>
      <c r="L185" s="6" t="n">
        <v>4.2</v>
      </c>
      <c r="M185" s="5" t="n">
        <v>778298.88</v>
      </c>
      <c r="N185" s="5" t="n">
        <v>130076.72</v>
      </c>
    </row>
    <row r="186" customFormat="false" ht="15" hidden="false" customHeight="false" outlineLevel="0" collapsed="false">
      <c r="A186" s="7" t="s">
        <v>68</v>
      </c>
      <c r="B186" s="7" t="s">
        <v>21</v>
      </c>
      <c r="C186" s="7" t="s">
        <v>30</v>
      </c>
      <c r="D186" s="7" t="s">
        <v>24</v>
      </c>
      <c r="E186" s="8" t="n">
        <v>57143.3</v>
      </c>
      <c r="F186" s="7" t="n">
        <v>8038</v>
      </c>
      <c r="G186" s="7" t="n">
        <v>0.193</v>
      </c>
      <c r="H186" s="7" t="n">
        <v>17</v>
      </c>
      <c r="I186" s="7" t="n">
        <v>72.6</v>
      </c>
      <c r="J186" s="9" t="n">
        <v>3.15</v>
      </c>
      <c r="K186" s="7" t="n">
        <v>0</v>
      </c>
      <c r="L186" s="9" t="n">
        <v>4.2</v>
      </c>
      <c r="M186" s="8" t="n">
        <v>677096.71</v>
      </c>
      <c r="N186" s="8" t="n">
        <v>97174.11</v>
      </c>
    </row>
    <row r="187" customFormat="false" ht="15" hidden="false" customHeight="false" outlineLevel="0" collapsed="false">
      <c r="A187" s="4" t="s">
        <v>68</v>
      </c>
      <c r="B187" s="4" t="s">
        <v>22</v>
      </c>
      <c r="C187" s="4" t="s">
        <v>30</v>
      </c>
      <c r="D187" s="4" t="s">
        <v>24</v>
      </c>
      <c r="E187" s="5" t="n">
        <v>66870.62</v>
      </c>
      <c r="F187" s="4" t="n">
        <v>6055</v>
      </c>
      <c r="G187" s="4" t="n">
        <v>0.075</v>
      </c>
      <c r="H187" s="4" t="n">
        <v>19</v>
      </c>
      <c r="I187" s="4" t="n">
        <v>93.8</v>
      </c>
      <c r="J187" s="6" t="n">
        <v>0.54</v>
      </c>
      <c r="K187" s="4" t="n">
        <v>0</v>
      </c>
      <c r="L187" s="6" t="n">
        <v>4.3</v>
      </c>
      <c r="M187" s="5" t="n">
        <v>692008.64</v>
      </c>
      <c r="N187" s="5" t="n">
        <v>116337.87</v>
      </c>
    </row>
    <row r="188" customFormat="false" ht="15" hidden="false" customHeight="false" outlineLevel="0" collapsed="false">
      <c r="A188" s="7" t="s">
        <v>69</v>
      </c>
      <c r="B188" s="7" t="s">
        <v>17</v>
      </c>
      <c r="C188" s="7" t="s">
        <v>26</v>
      </c>
      <c r="D188" s="7" t="s">
        <v>34</v>
      </c>
      <c r="E188" s="8" t="n">
        <v>72150.53</v>
      </c>
      <c r="F188" s="7" t="n">
        <v>9323</v>
      </c>
      <c r="G188" s="7" t="n">
        <v>0.157</v>
      </c>
      <c r="H188" s="7" t="n">
        <v>22</v>
      </c>
      <c r="I188" s="7" t="n">
        <v>82.9</v>
      </c>
      <c r="J188" s="9" t="n">
        <v>11.37</v>
      </c>
      <c r="K188" s="7" t="n">
        <v>1</v>
      </c>
      <c r="L188" s="9" t="n">
        <v>4.3</v>
      </c>
      <c r="M188" s="8" t="n">
        <v>825797.91</v>
      </c>
      <c r="N188" s="8" t="n">
        <v>130945.24</v>
      </c>
    </row>
    <row r="189" customFormat="false" ht="15" hidden="false" customHeight="false" outlineLevel="0" collapsed="false">
      <c r="A189" s="4" t="s">
        <v>69</v>
      </c>
      <c r="B189" s="4" t="s">
        <v>20</v>
      </c>
      <c r="C189" s="4" t="s">
        <v>26</v>
      </c>
      <c r="D189" s="4" t="s">
        <v>34</v>
      </c>
      <c r="E189" s="5" t="n">
        <v>35303.3</v>
      </c>
      <c r="F189" s="4" t="n">
        <v>8789</v>
      </c>
      <c r="G189" s="4" t="n">
        <v>0.123</v>
      </c>
      <c r="H189" s="4" t="n">
        <v>22</v>
      </c>
      <c r="I189" s="4" t="n">
        <v>86.1</v>
      </c>
      <c r="J189" s="6" t="n">
        <v>9.43</v>
      </c>
      <c r="K189" s="4" t="n">
        <v>0</v>
      </c>
      <c r="L189" s="6" t="n">
        <v>4.2</v>
      </c>
      <c r="M189" s="5" t="n">
        <v>706285.52</v>
      </c>
      <c r="N189" s="5" t="n">
        <v>138014.72</v>
      </c>
    </row>
    <row r="190" customFormat="false" ht="15" hidden="false" customHeight="false" outlineLevel="0" collapsed="false">
      <c r="A190" s="7" t="s">
        <v>69</v>
      </c>
      <c r="B190" s="7" t="s">
        <v>21</v>
      </c>
      <c r="C190" s="7" t="s">
        <v>26</v>
      </c>
      <c r="D190" s="7" t="s">
        <v>34</v>
      </c>
      <c r="E190" s="8" t="n">
        <v>30301.86</v>
      </c>
      <c r="F190" s="7" t="n">
        <v>6939</v>
      </c>
      <c r="G190" s="7" t="n">
        <v>0.09</v>
      </c>
      <c r="H190" s="7" t="n">
        <v>16</v>
      </c>
      <c r="I190" s="7" t="n">
        <v>90.3</v>
      </c>
      <c r="J190" s="9" t="n">
        <v>3.49</v>
      </c>
      <c r="K190" s="7" t="n">
        <v>0</v>
      </c>
      <c r="L190" s="9" t="n">
        <v>4</v>
      </c>
      <c r="M190" s="8" t="n">
        <v>665534.7</v>
      </c>
      <c r="N190" s="8" t="n">
        <v>113167.73</v>
      </c>
    </row>
    <row r="191" customFormat="false" ht="15" hidden="false" customHeight="false" outlineLevel="0" collapsed="false">
      <c r="A191" s="4" t="s">
        <v>69</v>
      </c>
      <c r="B191" s="4" t="s">
        <v>22</v>
      </c>
      <c r="C191" s="4" t="s">
        <v>26</v>
      </c>
      <c r="D191" s="4" t="s">
        <v>34</v>
      </c>
      <c r="E191" s="5" t="n">
        <v>78432.14</v>
      </c>
      <c r="F191" s="4" t="n">
        <v>9440</v>
      </c>
      <c r="G191" s="4" t="n">
        <v>0.126</v>
      </c>
      <c r="H191" s="4" t="n">
        <v>23</v>
      </c>
      <c r="I191" s="4" t="n">
        <v>89.2</v>
      </c>
      <c r="J191" s="6" t="n">
        <v>7.86</v>
      </c>
      <c r="K191" s="4" t="n">
        <v>0</v>
      </c>
      <c r="L191" s="6" t="n">
        <v>4.1</v>
      </c>
      <c r="M191" s="5" t="n">
        <v>820729.29</v>
      </c>
      <c r="N191" s="5" t="n">
        <v>159325.47</v>
      </c>
    </row>
    <row r="192" customFormat="false" ht="15" hidden="false" customHeight="false" outlineLevel="0" collapsed="false">
      <c r="A192" s="7" t="s">
        <v>70</v>
      </c>
      <c r="B192" s="7" t="s">
        <v>17</v>
      </c>
      <c r="C192" s="7" t="s">
        <v>18</v>
      </c>
      <c r="D192" s="7" t="s">
        <v>19</v>
      </c>
      <c r="E192" s="8" t="n">
        <v>62059.18</v>
      </c>
      <c r="F192" s="7" t="n">
        <v>9374</v>
      </c>
      <c r="G192" s="7" t="n">
        <v>0.136</v>
      </c>
      <c r="H192" s="7" t="n">
        <v>25</v>
      </c>
      <c r="I192" s="7" t="n">
        <v>87.1</v>
      </c>
      <c r="J192" s="9" t="n">
        <v>12.55</v>
      </c>
      <c r="K192" s="7" t="n">
        <v>0</v>
      </c>
      <c r="L192" s="9" t="n">
        <v>4.9</v>
      </c>
      <c r="M192" s="8" t="n">
        <v>739831.73</v>
      </c>
      <c r="N192" s="8" t="n">
        <v>119490.21</v>
      </c>
    </row>
    <row r="193" customFormat="false" ht="15" hidden="false" customHeight="false" outlineLevel="0" collapsed="false">
      <c r="A193" s="4" t="s">
        <v>70</v>
      </c>
      <c r="B193" s="4" t="s">
        <v>20</v>
      </c>
      <c r="C193" s="4" t="s">
        <v>18</v>
      </c>
      <c r="D193" s="4" t="s">
        <v>19</v>
      </c>
      <c r="E193" s="5" t="n">
        <v>32834.48</v>
      </c>
      <c r="F193" s="4" t="n">
        <v>7576</v>
      </c>
      <c r="G193" s="4" t="n">
        <v>0.099</v>
      </c>
      <c r="H193" s="4" t="n">
        <v>15</v>
      </c>
      <c r="I193" s="4" t="n">
        <v>84.1</v>
      </c>
      <c r="J193" s="6" t="n">
        <v>3.48</v>
      </c>
      <c r="K193" s="4" t="n">
        <v>0</v>
      </c>
      <c r="L193" s="6" t="n">
        <v>5</v>
      </c>
      <c r="M193" s="5" t="n">
        <v>593637.14</v>
      </c>
      <c r="N193" s="5" t="n">
        <v>106648.14</v>
      </c>
    </row>
    <row r="194" customFormat="false" ht="15" hidden="false" customHeight="false" outlineLevel="0" collapsed="false">
      <c r="A194" s="7" t="s">
        <v>70</v>
      </c>
      <c r="B194" s="7" t="s">
        <v>21</v>
      </c>
      <c r="C194" s="7" t="s">
        <v>18</v>
      </c>
      <c r="D194" s="7" t="s">
        <v>19</v>
      </c>
      <c r="E194" s="8" t="n">
        <v>50825.08</v>
      </c>
      <c r="F194" s="7" t="n">
        <v>8949</v>
      </c>
      <c r="G194" s="7" t="n">
        <v>0.157</v>
      </c>
      <c r="H194" s="7" t="n">
        <v>21</v>
      </c>
      <c r="I194" s="7" t="n">
        <v>84.7</v>
      </c>
      <c r="J194" s="9" t="n">
        <v>7.73</v>
      </c>
      <c r="K194" s="7" t="n">
        <v>0</v>
      </c>
      <c r="L194" s="9" t="n">
        <v>4.9</v>
      </c>
      <c r="M194" s="8" t="n">
        <v>769702.76</v>
      </c>
      <c r="N194" s="8" t="n">
        <v>158697</v>
      </c>
    </row>
    <row r="195" customFormat="false" ht="15" hidden="false" customHeight="false" outlineLevel="0" collapsed="false">
      <c r="A195" s="4" t="s">
        <v>70</v>
      </c>
      <c r="B195" s="4" t="s">
        <v>22</v>
      </c>
      <c r="C195" s="4" t="s">
        <v>18</v>
      </c>
      <c r="D195" s="4" t="s">
        <v>19</v>
      </c>
      <c r="E195" s="5" t="n">
        <v>36606.51</v>
      </c>
      <c r="F195" s="4" t="n">
        <v>7671</v>
      </c>
      <c r="G195" s="4" t="n">
        <v>0.118</v>
      </c>
      <c r="H195" s="4" t="n">
        <v>18</v>
      </c>
      <c r="I195" s="4" t="n">
        <v>89.8</v>
      </c>
      <c r="J195" s="6" t="n">
        <v>0.25</v>
      </c>
      <c r="K195" s="4" t="n">
        <v>0</v>
      </c>
      <c r="L195" s="6" t="n">
        <v>4.4</v>
      </c>
      <c r="M195" s="5" t="n">
        <v>679731.57</v>
      </c>
      <c r="N195" s="5" t="n">
        <v>121546.42</v>
      </c>
    </row>
    <row r="196" customFormat="false" ht="15" hidden="false" customHeight="false" outlineLevel="0" collapsed="false">
      <c r="A196" s="7" t="s">
        <v>71</v>
      </c>
      <c r="B196" s="7" t="s">
        <v>17</v>
      </c>
      <c r="C196" s="7" t="s">
        <v>18</v>
      </c>
      <c r="D196" s="7" t="s">
        <v>19</v>
      </c>
      <c r="E196" s="8" t="n">
        <v>65237.79</v>
      </c>
      <c r="F196" s="7" t="n">
        <v>8741</v>
      </c>
      <c r="G196" s="7" t="n">
        <v>0.157</v>
      </c>
      <c r="H196" s="7" t="n">
        <v>20</v>
      </c>
      <c r="I196" s="7" t="n">
        <v>94.4</v>
      </c>
      <c r="J196" s="9" t="n">
        <v>6.43</v>
      </c>
      <c r="K196" s="7" t="n">
        <v>0</v>
      </c>
      <c r="L196" s="9" t="n">
        <v>3.3</v>
      </c>
      <c r="M196" s="8" t="n">
        <v>780344.18</v>
      </c>
      <c r="N196" s="8" t="n">
        <v>118239.09</v>
      </c>
    </row>
    <row r="197" customFormat="false" ht="15" hidden="false" customHeight="false" outlineLevel="0" collapsed="false">
      <c r="A197" s="4" t="s">
        <v>71</v>
      </c>
      <c r="B197" s="4" t="s">
        <v>20</v>
      </c>
      <c r="C197" s="4" t="s">
        <v>18</v>
      </c>
      <c r="D197" s="4" t="s">
        <v>19</v>
      </c>
      <c r="E197" s="5" t="n">
        <v>43645.98</v>
      </c>
      <c r="F197" s="4" t="n">
        <v>9480</v>
      </c>
      <c r="G197" s="4" t="n">
        <v>0.109</v>
      </c>
      <c r="H197" s="4" t="n">
        <v>22</v>
      </c>
      <c r="I197" s="4" t="n">
        <v>89</v>
      </c>
      <c r="J197" s="6" t="n">
        <v>2.11</v>
      </c>
      <c r="K197" s="4" t="n">
        <v>0</v>
      </c>
      <c r="L197" s="6" t="n">
        <v>3.1</v>
      </c>
      <c r="M197" s="5" t="n">
        <v>721364.11</v>
      </c>
      <c r="N197" s="5" t="n">
        <v>147272.81</v>
      </c>
    </row>
    <row r="198" customFormat="false" ht="15" hidden="false" customHeight="false" outlineLevel="0" collapsed="false">
      <c r="A198" s="7" t="s">
        <v>71</v>
      </c>
      <c r="B198" s="7" t="s">
        <v>21</v>
      </c>
      <c r="C198" s="7" t="s">
        <v>18</v>
      </c>
      <c r="D198" s="7" t="s">
        <v>19</v>
      </c>
      <c r="E198" s="8" t="n">
        <v>68040.15</v>
      </c>
      <c r="F198" s="7" t="n">
        <v>9826</v>
      </c>
      <c r="G198" s="7" t="n">
        <v>0.125</v>
      </c>
      <c r="H198" s="7" t="n">
        <v>20</v>
      </c>
      <c r="I198" s="7" t="n">
        <v>83.9</v>
      </c>
      <c r="J198" s="9" t="n">
        <v>9.12</v>
      </c>
      <c r="K198" s="7" t="n">
        <v>0</v>
      </c>
      <c r="L198" s="9" t="n">
        <v>3.6</v>
      </c>
      <c r="M198" s="8" t="n">
        <v>758138.29</v>
      </c>
      <c r="N198" s="8" t="n">
        <v>132975.26</v>
      </c>
    </row>
    <row r="199" customFormat="false" ht="15" hidden="false" customHeight="false" outlineLevel="0" collapsed="false">
      <c r="A199" s="4" t="s">
        <v>71</v>
      </c>
      <c r="B199" s="4" t="s">
        <v>22</v>
      </c>
      <c r="C199" s="4" t="s">
        <v>18</v>
      </c>
      <c r="D199" s="4" t="s">
        <v>19</v>
      </c>
      <c r="E199" s="5" t="n">
        <v>63043.94</v>
      </c>
      <c r="F199" s="4" t="n">
        <v>10402</v>
      </c>
      <c r="G199" s="4" t="n">
        <v>0.159</v>
      </c>
      <c r="H199" s="4" t="n">
        <v>23</v>
      </c>
      <c r="I199" s="4" t="n">
        <v>93.9</v>
      </c>
      <c r="J199" s="6" t="n">
        <v>2.71</v>
      </c>
      <c r="K199" s="4" t="n">
        <v>0</v>
      </c>
      <c r="L199" s="6" t="n">
        <v>3.1</v>
      </c>
      <c r="M199" s="5" t="n">
        <v>804264</v>
      </c>
      <c r="N199" s="5" t="n">
        <v>167117.91</v>
      </c>
    </row>
    <row r="200" customFormat="false" ht="15" hidden="false" customHeight="false" outlineLevel="0" collapsed="false">
      <c r="A200" s="7" t="s">
        <v>72</v>
      </c>
      <c r="B200" s="7" t="s">
        <v>17</v>
      </c>
      <c r="C200" s="7" t="s">
        <v>33</v>
      </c>
      <c r="D200" s="7" t="s">
        <v>27</v>
      </c>
      <c r="E200" s="8" t="n">
        <v>67494.09</v>
      </c>
      <c r="F200" s="7" t="n">
        <v>12361</v>
      </c>
      <c r="G200" s="7" t="n">
        <v>0.046</v>
      </c>
      <c r="H200" s="7" t="n">
        <v>24</v>
      </c>
      <c r="I200" s="7" t="n">
        <v>76.6</v>
      </c>
      <c r="J200" s="9" t="n">
        <v>3.65</v>
      </c>
      <c r="K200" s="7" t="n">
        <v>1</v>
      </c>
      <c r="L200" s="9" t="n">
        <v>3.7</v>
      </c>
      <c r="M200" s="8" t="n">
        <v>887537.75</v>
      </c>
      <c r="N200" s="8" t="n">
        <v>160362.92</v>
      </c>
    </row>
    <row r="201" customFormat="false" ht="15" hidden="false" customHeight="false" outlineLevel="0" collapsed="false">
      <c r="A201" s="4" t="s">
        <v>72</v>
      </c>
      <c r="B201" s="4" t="s">
        <v>20</v>
      </c>
      <c r="C201" s="4" t="s">
        <v>33</v>
      </c>
      <c r="D201" s="4" t="s">
        <v>27</v>
      </c>
      <c r="E201" s="5" t="n">
        <v>29389.32</v>
      </c>
      <c r="F201" s="4" t="n">
        <v>7925</v>
      </c>
      <c r="G201" s="4" t="n">
        <v>0.177</v>
      </c>
      <c r="H201" s="4" t="n">
        <v>21</v>
      </c>
      <c r="I201" s="4" t="n">
        <v>90.9</v>
      </c>
      <c r="J201" s="6" t="n">
        <v>7.86</v>
      </c>
      <c r="K201" s="4" t="n">
        <v>0</v>
      </c>
      <c r="L201" s="6" t="n">
        <v>4</v>
      </c>
      <c r="M201" s="5" t="n">
        <v>783582</v>
      </c>
      <c r="N201" s="5" t="n">
        <v>130670.93</v>
      </c>
    </row>
    <row r="202" customFormat="false" ht="15" hidden="false" customHeight="false" outlineLevel="0" collapsed="false">
      <c r="A202" s="7" t="s">
        <v>72</v>
      </c>
      <c r="B202" s="7" t="s">
        <v>21</v>
      </c>
      <c r="C202" s="7" t="s">
        <v>33</v>
      </c>
      <c r="D202" s="7" t="s">
        <v>27</v>
      </c>
      <c r="E202" s="8" t="n">
        <v>40535.09</v>
      </c>
      <c r="F202" s="7" t="n">
        <v>8870</v>
      </c>
      <c r="G202" s="7" t="n">
        <v>0.041</v>
      </c>
      <c r="H202" s="7" t="n">
        <v>21</v>
      </c>
      <c r="I202" s="7" t="n">
        <v>86.6</v>
      </c>
      <c r="J202" s="9" t="n">
        <v>0.3</v>
      </c>
      <c r="K202" s="7" t="n">
        <v>0</v>
      </c>
      <c r="L202" s="9" t="n">
        <v>4.1</v>
      </c>
      <c r="M202" s="8" t="n">
        <v>781955.52</v>
      </c>
      <c r="N202" s="8" t="n">
        <v>152578.71</v>
      </c>
    </row>
    <row r="203" customFormat="false" ht="15" hidden="false" customHeight="false" outlineLevel="0" collapsed="false">
      <c r="A203" s="4" t="s">
        <v>72</v>
      </c>
      <c r="B203" s="4" t="s">
        <v>22</v>
      </c>
      <c r="C203" s="4" t="s">
        <v>33</v>
      </c>
      <c r="D203" s="4" t="s">
        <v>27</v>
      </c>
      <c r="E203" s="5" t="n">
        <v>74881.56</v>
      </c>
      <c r="F203" s="4" t="n">
        <v>9999</v>
      </c>
      <c r="G203" s="4" t="n">
        <v>0.013</v>
      </c>
      <c r="H203" s="4" t="n">
        <v>20</v>
      </c>
      <c r="I203" s="4" t="n">
        <v>89.6</v>
      </c>
      <c r="J203" s="6" t="n">
        <v>8.44</v>
      </c>
      <c r="K203" s="4" t="n">
        <v>0</v>
      </c>
      <c r="L203" s="6" t="n">
        <v>4.1</v>
      </c>
      <c r="M203" s="5" t="n">
        <v>898031.04</v>
      </c>
      <c r="N203" s="5" t="n">
        <v>138666.5</v>
      </c>
    </row>
    <row r="204" customFormat="false" ht="15" hidden="false" customHeight="false" outlineLevel="0" collapsed="false">
      <c r="A204" s="7" t="s">
        <v>73</v>
      </c>
      <c r="B204" s="7" t="s">
        <v>17</v>
      </c>
      <c r="C204" s="7" t="s">
        <v>33</v>
      </c>
      <c r="D204" s="7" t="s">
        <v>19</v>
      </c>
      <c r="E204" s="8" t="n">
        <v>68491.11</v>
      </c>
      <c r="F204" s="7" t="n">
        <v>11154</v>
      </c>
      <c r="G204" s="7" t="n">
        <v>0.001</v>
      </c>
      <c r="H204" s="7" t="n">
        <v>24</v>
      </c>
      <c r="I204" s="7" t="n">
        <v>89.4</v>
      </c>
      <c r="J204" s="9" t="n">
        <v>5.27</v>
      </c>
      <c r="K204" s="7" t="n">
        <v>1</v>
      </c>
      <c r="L204" s="9" t="n">
        <v>3.9</v>
      </c>
      <c r="M204" s="8" t="n">
        <v>855341.28</v>
      </c>
      <c r="N204" s="8" t="n">
        <v>175823.8</v>
      </c>
    </row>
    <row r="205" customFormat="false" ht="15" hidden="false" customHeight="false" outlineLevel="0" collapsed="false">
      <c r="A205" s="4" t="s">
        <v>73</v>
      </c>
      <c r="B205" s="4" t="s">
        <v>20</v>
      </c>
      <c r="C205" s="4" t="s">
        <v>33</v>
      </c>
      <c r="D205" s="4" t="s">
        <v>19</v>
      </c>
      <c r="E205" s="5" t="n">
        <v>45209.25</v>
      </c>
      <c r="F205" s="4" t="n">
        <v>9287</v>
      </c>
      <c r="G205" s="4" t="n">
        <v>0.141</v>
      </c>
      <c r="H205" s="4" t="n">
        <v>22</v>
      </c>
      <c r="I205" s="4" t="n">
        <v>86.4</v>
      </c>
      <c r="J205" s="6" t="n">
        <v>13.22</v>
      </c>
      <c r="K205" s="4" t="n">
        <v>0</v>
      </c>
      <c r="L205" s="6" t="n">
        <v>3.6</v>
      </c>
      <c r="M205" s="5" t="n">
        <v>751393.88</v>
      </c>
      <c r="N205" s="5" t="n">
        <v>91480.32</v>
      </c>
    </row>
    <row r="206" customFormat="false" ht="15" hidden="false" customHeight="false" outlineLevel="0" collapsed="false">
      <c r="A206" s="7" t="s">
        <v>73</v>
      </c>
      <c r="B206" s="7" t="s">
        <v>21</v>
      </c>
      <c r="C206" s="7" t="s">
        <v>33</v>
      </c>
      <c r="D206" s="7" t="s">
        <v>19</v>
      </c>
      <c r="E206" s="8" t="n">
        <v>63010.23</v>
      </c>
      <c r="F206" s="7" t="n">
        <v>9812</v>
      </c>
      <c r="G206" s="7" t="n">
        <v>0.113</v>
      </c>
      <c r="H206" s="7" t="n">
        <v>24</v>
      </c>
      <c r="I206" s="7" t="n">
        <v>76.8</v>
      </c>
      <c r="J206" s="9" t="n">
        <v>1.02</v>
      </c>
      <c r="K206" s="7" t="n">
        <v>1</v>
      </c>
      <c r="L206" s="9" t="n">
        <v>3.8</v>
      </c>
      <c r="M206" s="8" t="n">
        <v>761077.08</v>
      </c>
      <c r="N206" s="8" t="n">
        <v>113605.93</v>
      </c>
    </row>
    <row r="207" customFormat="false" ht="15" hidden="false" customHeight="false" outlineLevel="0" collapsed="false">
      <c r="A207" s="4" t="s">
        <v>73</v>
      </c>
      <c r="B207" s="4" t="s">
        <v>22</v>
      </c>
      <c r="C207" s="4" t="s">
        <v>33</v>
      </c>
      <c r="D207" s="4" t="s">
        <v>19</v>
      </c>
      <c r="E207" s="5" t="n">
        <v>57948.88</v>
      </c>
      <c r="F207" s="4" t="n">
        <v>10741</v>
      </c>
      <c r="G207" s="4" t="n">
        <v>0.07</v>
      </c>
      <c r="H207" s="4" t="n">
        <v>25</v>
      </c>
      <c r="I207" s="4" t="n">
        <v>90.1</v>
      </c>
      <c r="J207" s="6" t="n">
        <v>4.03</v>
      </c>
      <c r="K207" s="4" t="n">
        <v>0</v>
      </c>
      <c r="L207" s="6" t="n">
        <v>3.1</v>
      </c>
      <c r="M207" s="5" t="n">
        <v>819660.59</v>
      </c>
      <c r="N207" s="5" t="n">
        <v>172699.95</v>
      </c>
    </row>
    <row r="208" customFormat="false" ht="15" hidden="false" customHeight="false" outlineLevel="0" collapsed="false">
      <c r="A208" s="7" t="s">
        <v>74</v>
      </c>
      <c r="B208" s="7" t="s">
        <v>17</v>
      </c>
      <c r="C208" s="7" t="s">
        <v>26</v>
      </c>
      <c r="D208" s="7" t="s">
        <v>24</v>
      </c>
      <c r="E208" s="8" t="n">
        <v>71941.62</v>
      </c>
      <c r="F208" s="7" t="n">
        <v>6084</v>
      </c>
      <c r="G208" s="7" t="n">
        <v>0.072</v>
      </c>
      <c r="H208" s="7" t="n">
        <v>13</v>
      </c>
      <c r="I208" s="7" t="n">
        <v>93.7</v>
      </c>
      <c r="J208" s="9" t="n">
        <v>2.34</v>
      </c>
      <c r="K208" s="7" t="n">
        <v>0</v>
      </c>
      <c r="L208" s="9" t="n">
        <v>4.4</v>
      </c>
      <c r="M208" s="8" t="n">
        <v>681855.56</v>
      </c>
      <c r="N208" s="8" t="n">
        <v>117645.61</v>
      </c>
    </row>
    <row r="209" customFormat="false" ht="15" hidden="false" customHeight="false" outlineLevel="0" collapsed="false">
      <c r="A209" s="4" t="s">
        <v>74</v>
      </c>
      <c r="B209" s="4" t="s">
        <v>20</v>
      </c>
      <c r="C209" s="4" t="s">
        <v>26</v>
      </c>
      <c r="D209" s="4" t="s">
        <v>24</v>
      </c>
      <c r="E209" s="5" t="n">
        <v>57147.88</v>
      </c>
      <c r="F209" s="4" t="n">
        <v>5252</v>
      </c>
      <c r="G209" s="4" t="n">
        <v>0.161</v>
      </c>
      <c r="H209" s="4" t="n">
        <v>15</v>
      </c>
      <c r="I209" s="4" t="n">
        <v>95.5</v>
      </c>
      <c r="J209" s="6" t="n">
        <v>8.51</v>
      </c>
      <c r="K209" s="4" t="n">
        <v>0</v>
      </c>
      <c r="L209" s="6" t="n">
        <v>4.4</v>
      </c>
      <c r="M209" s="5" t="n">
        <v>678311.17</v>
      </c>
      <c r="N209" s="5" t="n">
        <v>132029.76</v>
      </c>
    </row>
    <row r="210" customFormat="false" ht="15" hidden="false" customHeight="false" outlineLevel="0" collapsed="false">
      <c r="A210" s="7" t="s">
        <v>74</v>
      </c>
      <c r="B210" s="7" t="s">
        <v>21</v>
      </c>
      <c r="C210" s="7" t="s">
        <v>26</v>
      </c>
      <c r="D210" s="7" t="s">
        <v>24</v>
      </c>
      <c r="E210" s="8" t="n">
        <v>48031.74</v>
      </c>
      <c r="F210" s="7" t="n">
        <v>6516</v>
      </c>
      <c r="G210" s="7" t="n">
        <v>0.067</v>
      </c>
      <c r="H210" s="7" t="n">
        <v>14</v>
      </c>
      <c r="I210" s="7" t="n">
        <v>99</v>
      </c>
      <c r="J210" s="9" t="n">
        <v>0.48</v>
      </c>
      <c r="K210" s="7" t="n">
        <v>1</v>
      </c>
      <c r="L210" s="9" t="n">
        <v>4.3</v>
      </c>
      <c r="M210" s="8" t="n">
        <v>765906.95</v>
      </c>
      <c r="N210" s="8" t="n">
        <v>114005.9</v>
      </c>
    </row>
    <row r="211" customFormat="false" ht="15" hidden="false" customHeight="false" outlineLevel="0" collapsed="false">
      <c r="A211" s="4" t="s">
        <v>74</v>
      </c>
      <c r="B211" s="4" t="s">
        <v>22</v>
      </c>
      <c r="C211" s="4" t="s">
        <v>26</v>
      </c>
      <c r="D211" s="4" t="s">
        <v>24</v>
      </c>
      <c r="E211" s="5" t="n">
        <v>72784.8</v>
      </c>
      <c r="F211" s="4" t="n">
        <v>7932</v>
      </c>
      <c r="G211" s="4" t="n">
        <v>0.094</v>
      </c>
      <c r="H211" s="4" t="n">
        <v>20</v>
      </c>
      <c r="I211" s="4" t="n">
        <v>74.9</v>
      </c>
      <c r="J211" s="6" t="n">
        <v>13.62</v>
      </c>
      <c r="K211" s="4" t="n">
        <v>0</v>
      </c>
      <c r="L211" s="6" t="n">
        <v>4.2</v>
      </c>
      <c r="M211" s="5" t="n">
        <v>712546.38</v>
      </c>
      <c r="N211" s="5" t="n">
        <v>101480.04</v>
      </c>
    </row>
    <row r="212" customFormat="false" ht="15" hidden="false" customHeight="false" outlineLevel="0" collapsed="false">
      <c r="A212" s="7" t="s">
        <v>75</v>
      </c>
      <c r="B212" s="7" t="s">
        <v>17</v>
      </c>
      <c r="C212" s="7" t="s">
        <v>18</v>
      </c>
      <c r="D212" s="7" t="s">
        <v>24</v>
      </c>
      <c r="E212" s="8" t="n">
        <v>71641.9</v>
      </c>
      <c r="F212" s="7" t="n">
        <v>3506</v>
      </c>
      <c r="G212" s="7" t="n">
        <v>0</v>
      </c>
      <c r="H212" s="7" t="n">
        <v>11</v>
      </c>
      <c r="I212" s="7" t="n">
        <v>86.4</v>
      </c>
      <c r="J212" s="9" t="n">
        <v>7.77</v>
      </c>
      <c r="K212" s="7" t="n">
        <v>0</v>
      </c>
      <c r="L212" s="9" t="n">
        <v>4.1</v>
      </c>
      <c r="M212" s="8" t="n">
        <v>625993.83</v>
      </c>
      <c r="N212" s="8" t="n">
        <v>98960.32</v>
      </c>
    </row>
    <row r="213" customFormat="false" ht="15" hidden="false" customHeight="false" outlineLevel="0" collapsed="false">
      <c r="A213" s="4" t="s">
        <v>75</v>
      </c>
      <c r="B213" s="4" t="s">
        <v>20</v>
      </c>
      <c r="C213" s="4" t="s">
        <v>18</v>
      </c>
      <c r="D213" s="4" t="s">
        <v>24</v>
      </c>
      <c r="E213" s="5" t="n">
        <v>55788.61</v>
      </c>
      <c r="F213" s="4" t="n">
        <v>2312</v>
      </c>
      <c r="G213" s="4" t="n">
        <v>0.058</v>
      </c>
      <c r="H213" s="4" t="n">
        <v>10</v>
      </c>
      <c r="I213" s="4" t="n">
        <v>91.3</v>
      </c>
      <c r="J213" s="6" t="n">
        <v>1.99</v>
      </c>
      <c r="K213" s="4" t="n">
        <v>0</v>
      </c>
      <c r="L213" s="6" t="n">
        <v>3.8</v>
      </c>
      <c r="M213" s="5" t="n">
        <v>550962.93</v>
      </c>
      <c r="N213" s="5" t="n">
        <v>97144.58</v>
      </c>
    </row>
    <row r="214" customFormat="false" ht="15" hidden="false" customHeight="false" outlineLevel="0" collapsed="false">
      <c r="A214" s="7" t="s">
        <v>75</v>
      </c>
      <c r="B214" s="7" t="s">
        <v>21</v>
      </c>
      <c r="C214" s="7" t="s">
        <v>18</v>
      </c>
      <c r="D214" s="7" t="s">
        <v>24</v>
      </c>
      <c r="E214" s="8" t="n">
        <v>37705.88</v>
      </c>
      <c r="F214" s="7" t="n">
        <v>1268</v>
      </c>
      <c r="G214" s="7" t="n">
        <v>0.259</v>
      </c>
      <c r="H214" s="7" t="n">
        <v>9</v>
      </c>
      <c r="I214" s="7" t="n">
        <v>84.1</v>
      </c>
      <c r="J214" s="9" t="n">
        <v>4.77</v>
      </c>
      <c r="K214" s="7" t="n">
        <v>0</v>
      </c>
      <c r="L214" s="9" t="n">
        <v>3.8</v>
      </c>
      <c r="M214" s="8" t="n">
        <v>443275.59</v>
      </c>
      <c r="N214" s="8" t="n">
        <v>53544.36</v>
      </c>
    </row>
    <row r="215" customFormat="false" ht="15" hidden="false" customHeight="false" outlineLevel="0" collapsed="false">
      <c r="A215" s="4" t="s">
        <v>75</v>
      </c>
      <c r="B215" s="4" t="s">
        <v>22</v>
      </c>
      <c r="C215" s="4" t="s">
        <v>18</v>
      </c>
      <c r="D215" s="4" t="s">
        <v>24</v>
      </c>
      <c r="E215" s="5" t="n">
        <v>54966.18</v>
      </c>
      <c r="F215" s="4" t="n">
        <v>4423</v>
      </c>
      <c r="G215" s="4" t="n">
        <v>0.186</v>
      </c>
      <c r="H215" s="4" t="n">
        <v>13</v>
      </c>
      <c r="I215" s="4" t="n">
        <v>88.7</v>
      </c>
      <c r="J215" s="6" t="n">
        <v>0.2</v>
      </c>
      <c r="K215" s="4" t="n">
        <v>0</v>
      </c>
      <c r="L215" s="6" t="n">
        <v>4.4</v>
      </c>
      <c r="M215" s="5" t="n">
        <v>554012.07</v>
      </c>
      <c r="N215" s="5" t="n">
        <v>81101.62</v>
      </c>
    </row>
    <row r="216" customFormat="false" ht="15" hidden="false" customHeight="false" outlineLevel="0" collapsed="false">
      <c r="A216" s="7" t="s">
        <v>76</v>
      </c>
      <c r="B216" s="7" t="s">
        <v>17</v>
      </c>
      <c r="C216" s="7" t="s">
        <v>33</v>
      </c>
      <c r="D216" s="7" t="s">
        <v>19</v>
      </c>
      <c r="E216" s="8" t="n">
        <v>81796.74</v>
      </c>
      <c r="F216" s="7" t="n">
        <v>6177</v>
      </c>
      <c r="G216" s="7" t="n">
        <v>0.164</v>
      </c>
      <c r="H216" s="7" t="n">
        <v>14</v>
      </c>
      <c r="I216" s="7" t="n">
        <v>87.9</v>
      </c>
      <c r="J216" s="9" t="n">
        <v>0.53</v>
      </c>
      <c r="K216" s="7" t="n">
        <v>0</v>
      </c>
      <c r="L216" s="9" t="n">
        <v>3.2</v>
      </c>
      <c r="M216" s="8" t="n">
        <v>643428.85</v>
      </c>
      <c r="N216" s="8" t="n">
        <v>94477.63</v>
      </c>
    </row>
    <row r="217" customFormat="false" ht="15" hidden="false" customHeight="false" outlineLevel="0" collapsed="false">
      <c r="A217" s="4" t="s">
        <v>76</v>
      </c>
      <c r="B217" s="4" t="s">
        <v>20</v>
      </c>
      <c r="C217" s="4" t="s">
        <v>33</v>
      </c>
      <c r="D217" s="4" t="s">
        <v>19</v>
      </c>
      <c r="E217" s="5" t="n">
        <v>51133.43</v>
      </c>
      <c r="F217" s="4" t="n">
        <v>5150</v>
      </c>
      <c r="G217" s="4" t="n">
        <v>0.15</v>
      </c>
      <c r="H217" s="4" t="n">
        <v>12</v>
      </c>
      <c r="I217" s="4" t="n">
        <v>88.5</v>
      </c>
      <c r="J217" s="6" t="n">
        <v>1.54</v>
      </c>
      <c r="K217" s="4" t="n">
        <v>0</v>
      </c>
      <c r="L217" s="6" t="n">
        <v>3.2</v>
      </c>
      <c r="M217" s="5" t="n">
        <v>611924.27</v>
      </c>
      <c r="N217" s="5" t="n">
        <v>115488.75</v>
      </c>
    </row>
    <row r="218" customFormat="false" ht="15" hidden="false" customHeight="false" outlineLevel="0" collapsed="false">
      <c r="A218" s="7" t="s">
        <v>76</v>
      </c>
      <c r="B218" s="7" t="s">
        <v>21</v>
      </c>
      <c r="C218" s="7" t="s">
        <v>33</v>
      </c>
      <c r="D218" s="7" t="s">
        <v>19</v>
      </c>
      <c r="E218" s="8" t="n">
        <v>40220.18</v>
      </c>
      <c r="F218" s="7" t="n">
        <v>3783</v>
      </c>
      <c r="G218" s="7" t="n">
        <v>0.089</v>
      </c>
      <c r="H218" s="7" t="n">
        <v>14</v>
      </c>
      <c r="I218" s="7" t="n">
        <v>86.6</v>
      </c>
      <c r="J218" s="9" t="n">
        <v>3.63</v>
      </c>
      <c r="K218" s="7" t="n">
        <v>0</v>
      </c>
      <c r="L218" s="9" t="n">
        <v>3.7</v>
      </c>
      <c r="M218" s="8" t="n">
        <v>559422.02</v>
      </c>
      <c r="N218" s="8" t="n">
        <v>73528.74</v>
      </c>
    </row>
    <row r="219" customFormat="false" ht="15" hidden="false" customHeight="false" outlineLevel="0" collapsed="false">
      <c r="A219" s="4" t="s">
        <v>76</v>
      </c>
      <c r="B219" s="4" t="s">
        <v>22</v>
      </c>
      <c r="C219" s="4" t="s">
        <v>33</v>
      </c>
      <c r="D219" s="4" t="s">
        <v>19</v>
      </c>
      <c r="E219" s="5" t="n">
        <v>41657.64</v>
      </c>
      <c r="F219" s="4" t="n">
        <v>3135</v>
      </c>
      <c r="G219" s="4" t="n">
        <v>0.229</v>
      </c>
      <c r="H219" s="4" t="n">
        <v>7</v>
      </c>
      <c r="I219" s="4" t="n">
        <v>85.4</v>
      </c>
      <c r="J219" s="6" t="n">
        <v>13.48</v>
      </c>
      <c r="K219" s="4" t="n">
        <v>0</v>
      </c>
      <c r="L219" s="6" t="n">
        <v>4</v>
      </c>
      <c r="M219" s="5" t="n">
        <v>449465.06</v>
      </c>
      <c r="N219" s="5" t="n">
        <v>65694.78</v>
      </c>
    </row>
    <row r="220" customFormat="false" ht="15" hidden="false" customHeight="false" outlineLevel="0" collapsed="false">
      <c r="A220" s="7" t="s">
        <v>77</v>
      </c>
      <c r="B220" s="7" t="s">
        <v>17</v>
      </c>
      <c r="C220" s="7" t="s">
        <v>26</v>
      </c>
      <c r="D220" s="7" t="s">
        <v>19</v>
      </c>
      <c r="E220" s="8" t="n">
        <v>71851.45</v>
      </c>
      <c r="F220" s="7" t="n">
        <v>4970</v>
      </c>
      <c r="G220" s="7" t="n">
        <v>0.098</v>
      </c>
      <c r="H220" s="7" t="n">
        <v>11</v>
      </c>
      <c r="I220" s="7" t="n">
        <v>89.6</v>
      </c>
      <c r="J220" s="9" t="n">
        <v>0.2</v>
      </c>
      <c r="K220" s="7" t="n">
        <v>0</v>
      </c>
      <c r="L220" s="9" t="n">
        <v>4.2</v>
      </c>
      <c r="M220" s="8" t="n">
        <v>691447.43</v>
      </c>
      <c r="N220" s="8" t="n">
        <v>114077.69</v>
      </c>
    </row>
    <row r="221" customFormat="false" ht="15" hidden="false" customHeight="false" outlineLevel="0" collapsed="false">
      <c r="A221" s="4" t="s">
        <v>77</v>
      </c>
      <c r="B221" s="4" t="s">
        <v>20</v>
      </c>
      <c r="C221" s="4" t="s">
        <v>26</v>
      </c>
      <c r="D221" s="4" t="s">
        <v>19</v>
      </c>
      <c r="E221" s="5" t="n">
        <v>54002.83</v>
      </c>
      <c r="F221" s="4" t="n">
        <v>4366</v>
      </c>
      <c r="G221" s="4" t="n">
        <v>0.027</v>
      </c>
      <c r="H221" s="4" t="n">
        <v>15</v>
      </c>
      <c r="I221" s="4" t="n">
        <v>90.6</v>
      </c>
      <c r="J221" s="6" t="n">
        <v>12.82</v>
      </c>
      <c r="K221" s="4" t="n">
        <v>0</v>
      </c>
      <c r="L221" s="6" t="n">
        <v>4.6</v>
      </c>
      <c r="M221" s="5" t="n">
        <v>574066.61</v>
      </c>
      <c r="N221" s="5" t="n">
        <v>124674.67</v>
      </c>
    </row>
    <row r="222" customFormat="false" ht="15" hidden="false" customHeight="false" outlineLevel="0" collapsed="false">
      <c r="A222" s="7" t="s">
        <v>77</v>
      </c>
      <c r="B222" s="7" t="s">
        <v>21</v>
      </c>
      <c r="C222" s="7" t="s">
        <v>26</v>
      </c>
      <c r="D222" s="7" t="s">
        <v>19</v>
      </c>
      <c r="E222" s="8" t="n">
        <v>54479.33</v>
      </c>
      <c r="F222" s="7" t="n">
        <v>5012</v>
      </c>
      <c r="G222" s="7" t="n">
        <v>0.284</v>
      </c>
      <c r="H222" s="7" t="n">
        <v>13</v>
      </c>
      <c r="I222" s="7" t="n">
        <v>86</v>
      </c>
      <c r="J222" s="9" t="n">
        <v>2.24</v>
      </c>
      <c r="K222" s="7" t="n">
        <v>1</v>
      </c>
      <c r="L222" s="9" t="n">
        <v>4.3</v>
      </c>
      <c r="M222" s="8" t="n">
        <v>578949.84</v>
      </c>
      <c r="N222" s="8" t="n">
        <v>80253.65</v>
      </c>
    </row>
    <row r="223" customFormat="false" ht="15" hidden="false" customHeight="false" outlineLevel="0" collapsed="false">
      <c r="A223" s="4" t="s">
        <v>77</v>
      </c>
      <c r="B223" s="4" t="s">
        <v>22</v>
      </c>
      <c r="C223" s="4" t="s">
        <v>26</v>
      </c>
      <c r="D223" s="4" t="s">
        <v>19</v>
      </c>
      <c r="E223" s="5" t="n">
        <v>61391.8</v>
      </c>
      <c r="F223" s="4" t="n">
        <v>5575</v>
      </c>
      <c r="G223" s="4" t="n">
        <v>0.189</v>
      </c>
      <c r="H223" s="4" t="n">
        <v>18</v>
      </c>
      <c r="I223" s="4" t="n">
        <v>90</v>
      </c>
      <c r="J223" s="6" t="n">
        <v>1.8</v>
      </c>
      <c r="K223" s="4" t="n">
        <v>0</v>
      </c>
      <c r="L223" s="6" t="n">
        <v>4.8</v>
      </c>
      <c r="M223" s="5" t="n">
        <v>735786.64</v>
      </c>
      <c r="N223" s="5" t="n">
        <v>126540.66</v>
      </c>
    </row>
    <row r="224" customFormat="false" ht="15" hidden="false" customHeight="false" outlineLevel="0" collapsed="false">
      <c r="A224" s="7" t="s">
        <v>78</v>
      </c>
      <c r="B224" s="7" t="s">
        <v>17</v>
      </c>
      <c r="C224" s="7" t="s">
        <v>18</v>
      </c>
      <c r="D224" s="7" t="s">
        <v>27</v>
      </c>
      <c r="E224" s="8" t="n">
        <v>22312.93</v>
      </c>
      <c r="F224" s="7" t="n">
        <v>5955</v>
      </c>
      <c r="G224" s="7" t="n">
        <v>0.123</v>
      </c>
      <c r="H224" s="7" t="n">
        <v>13</v>
      </c>
      <c r="I224" s="7" t="n">
        <v>84.2</v>
      </c>
      <c r="J224" s="9" t="n">
        <v>0.41</v>
      </c>
      <c r="K224" s="7" t="n">
        <v>1</v>
      </c>
      <c r="L224" s="9" t="n">
        <v>4.6</v>
      </c>
      <c r="M224" s="8" t="n">
        <v>598904.9</v>
      </c>
      <c r="N224" s="8" t="n">
        <v>72861</v>
      </c>
    </row>
    <row r="225" customFormat="false" ht="15" hidden="false" customHeight="false" outlineLevel="0" collapsed="false">
      <c r="A225" s="4" t="s">
        <v>78</v>
      </c>
      <c r="B225" s="4" t="s">
        <v>20</v>
      </c>
      <c r="C225" s="4" t="s">
        <v>18</v>
      </c>
      <c r="D225" s="4" t="s">
        <v>27</v>
      </c>
      <c r="E225" s="5" t="n">
        <v>78111.97</v>
      </c>
      <c r="F225" s="4" t="n">
        <v>6389</v>
      </c>
      <c r="G225" s="4" t="n">
        <v>0.15</v>
      </c>
      <c r="H225" s="4" t="n">
        <v>13</v>
      </c>
      <c r="I225" s="4" t="n">
        <v>83.9</v>
      </c>
      <c r="J225" s="6" t="n">
        <v>3.05</v>
      </c>
      <c r="K225" s="4" t="n">
        <v>0</v>
      </c>
      <c r="L225" s="6" t="n">
        <v>4.8</v>
      </c>
      <c r="M225" s="5" t="n">
        <v>787715.51</v>
      </c>
      <c r="N225" s="5" t="n">
        <v>128969.62</v>
      </c>
    </row>
    <row r="226" customFormat="false" ht="15" hidden="false" customHeight="false" outlineLevel="0" collapsed="false">
      <c r="A226" s="7" t="s">
        <v>78</v>
      </c>
      <c r="B226" s="7" t="s">
        <v>21</v>
      </c>
      <c r="C226" s="7" t="s">
        <v>18</v>
      </c>
      <c r="D226" s="7" t="s">
        <v>27</v>
      </c>
      <c r="E226" s="8" t="n">
        <v>35203.23</v>
      </c>
      <c r="F226" s="7" t="n">
        <v>6896</v>
      </c>
      <c r="G226" s="7" t="n">
        <v>0.032</v>
      </c>
      <c r="H226" s="7" t="n">
        <v>14</v>
      </c>
      <c r="I226" s="7" t="n">
        <v>80.8</v>
      </c>
      <c r="J226" s="9" t="n">
        <v>8.44</v>
      </c>
      <c r="K226" s="7" t="n">
        <v>1</v>
      </c>
      <c r="L226" s="9" t="n">
        <v>5</v>
      </c>
      <c r="M226" s="8" t="n">
        <v>607084.92</v>
      </c>
      <c r="N226" s="8" t="n">
        <v>98558.49</v>
      </c>
    </row>
    <row r="227" customFormat="false" ht="15" hidden="false" customHeight="false" outlineLevel="0" collapsed="false">
      <c r="A227" s="4" t="s">
        <v>78</v>
      </c>
      <c r="B227" s="4" t="s">
        <v>22</v>
      </c>
      <c r="C227" s="4" t="s">
        <v>18</v>
      </c>
      <c r="D227" s="4" t="s">
        <v>27</v>
      </c>
      <c r="E227" s="5" t="n">
        <v>64104.28</v>
      </c>
      <c r="F227" s="4" t="n">
        <v>6015</v>
      </c>
      <c r="G227" s="4" t="n">
        <v>0.127</v>
      </c>
      <c r="H227" s="4" t="n">
        <v>15</v>
      </c>
      <c r="I227" s="4" t="n">
        <v>88.7</v>
      </c>
      <c r="J227" s="6" t="n">
        <v>0.78</v>
      </c>
      <c r="K227" s="4" t="n">
        <v>0</v>
      </c>
      <c r="L227" s="6" t="n">
        <v>4</v>
      </c>
      <c r="M227" s="5" t="n">
        <v>650795.49</v>
      </c>
      <c r="N227" s="5" t="n">
        <v>103035.89</v>
      </c>
    </row>
    <row r="228" customFormat="false" ht="15" hidden="false" customHeight="false" outlineLevel="0" collapsed="false">
      <c r="A228" s="7" t="s">
        <v>79</v>
      </c>
      <c r="B228" s="7" t="s">
        <v>17</v>
      </c>
      <c r="C228" s="7" t="s">
        <v>18</v>
      </c>
      <c r="D228" s="7" t="s">
        <v>34</v>
      </c>
      <c r="E228" s="8" t="n">
        <v>92090.14</v>
      </c>
      <c r="F228" s="7" t="n">
        <v>9476</v>
      </c>
      <c r="G228" s="7" t="n">
        <v>0.07</v>
      </c>
      <c r="H228" s="7" t="n">
        <v>24</v>
      </c>
      <c r="I228" s="7" t="n">
        <v>94.3</v>
      </c>
      <c r="J228" s="9" t="n">
        <v>0.87</v>
      </c>
      <c r="K228" s="7" t="n">
        <v>0</v>
      </c>
      <c r="L228" s="9" t="n">
        <v>3.7</v>
      </c>
      <c r="M228" s="8" t="n">
        <v>825060.52</v>
      </c>
      <c r="N228" s="8" t="n">
        <v>143613.15</v>
      </c>
    </row>
    <row r="229" customFormat="false" ht="15" hidden="false" customHeight="false" outlineLevel="0" collapsed="false">
      <c r="A229" s="4" t="s">
        <v>79</v>
      </c>
      <c r="B229" s="4" t="s">
        <v>20</v>
      </c>
      <c r="C229" s="4" t="s">
        <v>18</v>
      </c>
      <c r="D229" s="4" t="s">
        <v>34</v>
      </c>
      <c r="E229" s="5" t="n">
        <v>54300.87</v>
      </c>
      <c r="F229" s="4" t="n">
        <v>7875</v>
      </c>
      <c r="G229" s="4" t="n">
        <v>0.107</v>
      </c>
      <c r="H229" s="4" t="n">
        <v>19</v>
      </c>
      <c r="I229" s="4" t="n">
        <v>94.1</v>
      </c>
      <c r="J229" s="6" t="n">
        <v>0.95</v>
      </c>
      <c r="K229" s="4" t="n">
        <v>0</v>
      </c>
      <c r="L229" s="6" t="n">
        <v>3.7</v>
      </c>
      <c r="M229" s="5" t="n">
        <v>795464.47</v>
      </c>
      <c r="N229" s="5" t="n">
        <v>161150.52</v>
      </c>
    </row>
    <row r="230" customFormat="false" ht="15" hidden="false" customHeight="false" outlineLevel="0" collapsed="false">
      <c r="A230" s="7" t="s">
        <v>79</v>
      </c>
      <c r="B230" s="7" t="s">
        <v>21</v>
      </c>
      <c r="C230" s="7" t="s">
        <v>18</v>
      </c>
      <c r="D230" s="7" t="s">
        <v>34</v>
      </c>
      <c r="E230" s="8" t="n">
        <v>37983.35</v>
      </c>
      <c r="F230" s="7" t="n">
        <v>9283</v>
      </c>
      <c r="G230" s="7" t="n">
        <v>0.149</v>
      </c>
      <c r="H230" s="7" t="n">
        <v>19</v>
      </c>
      <c r="I230" s="7" t="n">
        <v>83.2</v>
      </c>
      <c r="J230" s="9" t="n">
        <v>3.82</v>
      </c>
      <c r="K230" s="7" t="n">
        <v>0</v>
      </c>
      <c r="L230" s="9" t="n">
        <v>3.7</v>
      </c>
      <c r="M230" s="8" t="n">
        <v>671868.59</v>
      </c>
      <c r="N230" s="8" t="n">
        <v>71003.28</v>
      </c>
    </row>
    <row r="231" customFormat="false" ht="15" hidden="false" customHeight="false" outlineLevel="0" collapsed="false">
      <c r="A231" s="4" t="s">
        <v>79</v>
      </c>
      <c r="B231" s="4" t="s">
        <v>22</v>
      </c>
      <c r="C231" s="4" t="s">
        <v>18</v>
      </c>
      <c r="D231" s="4" t="s">
        <v>34</v>
      </c>
      <c r="E231" s="5" t="n">
        <v>56413.83</v>
      </c>
      <c r="F231" s="4" t="n">
        <v>8303</v>
      </c>
      <c r="G231" s="4" t="n">
        <v>0.116</v>
      </c>
      <c r="H231" s="4" t="n">
        <v>18</v>
      </c>
      <c r="I231" s="4" t="n">
        <v>93.6</v>
      </c>
      <c r="J231" s="6" t="n">
        <v>2.7</v>
      </c>
      <c r="K231" s="4" t="n">
        <v>0</v>
      </c>
      <c r="L231" s="6" t="n">
        <v>3.7</v>
      </c>
      <c r="M231" s="5" t="n">
        <v>675917.63</v>
      </c>
      <c r="N231" s="5" t="n">
        <v>112564.75</v>
      </c>
    </row>
    <row r="232" customFormat="false" ht="15" hidden="false" customHeight="false" outlineLevel="0" collapsed="false">
      <c r="A232" s="7" t="s">
        <v>80</v>
      </c>
      <c r="B232" s="7" t="s">
        <v>17</v>
      </c>
      <c r="C232" s="7" t="s">
        <v>18</v>
      </c>
      <c r="D232" s="7" t="s">
        <v>24</v>
      </c>
      <c r="E232" s="8" t="n">
        <v>63457.19</v>
      </c>
      <c r="F232" s="7" t="n">
        <v>10125</v>
      </c>
      <c r="G232" s="7" t="n">
        <v>0.097</v>
      </c>
      <c r="H232" s="7" t="n">
        <v>24</v>
      </c>
      <c r="I232" s="7" t="n">
        <v>87</v>
      </c>
      <c r="J232" s="9" t="n">
        <v>3.84</v>
      </c>
      <c r="K232" s="7" t="n">
        <v>1</v>
      </c>
      <c r="L232" s="9" t="n">
        <v>3.7</v>
      </c>
      <c r="M232" s="8" t="n">
        <v>810446.53</v>
      </c>
      <c r="N232" s="8" t="n">
        <v>200575.34</v>
      </c>
    </row>
    <row r="233" customFormat="false" ht="15" hidden="false" customHeight="false" outlineLevel="0" collapsed="false">
      <c r="A233" s="4" t="s">
        <v>80</v>
      </c>
      <c r="B233" s="4" t="s">
        <v>20</v>
      </c>
      <c r="C233" s="4" t="s">
        <v>18</v>
      </c>
      <c r="D233" s="4" t="s">
        <v>24</v>
      </c>
      <c r="E233" s="5" t="n">
        <v>62949.7</v>
      </c>
      <c r="F233" s="4" t="n">
        <v>9458</v>
      </c>
      <c r="G233" s="4" t="n">
        <v>0.171</v>
      </c>
      <c r="H233" s="4" t="n">
        <v>19</v>
      </c>
      <c r="I233" s="4" t="n">
        <v>84.9</v>
      </c>
      <c r="J233" s="6" t="n">
        <v>5.09</v>
      </c>
      <c r="K233" s="4" t="n">
        <v>0</v>
      </c>
      <c r="L233" s="6" t="n">
        <v>3.3</v>
      </c>
      <c r="M233" s="5" t="n">
        <v>691288.19</v>
      </c>
      <c r="N233" s="5" t="n">
        <v>159074.14</v>
      </c>
    </row>
    <row r="234" customFormat="false" ht="15" hidden="false" customHeight="false" outlineLevel="0" collapsed="false">
      <c r="A234" s="7" t="s">
        <v>80</v>
      </c>
      <c r="B234" s="7" t="s">
        <v>21</v>
      </c>
      <c r="C234" s="7" t="s">
        <v>18</v>
      </c>
      <c r="D234" s="7" t="s">
        <v>24</v>
      </c>
      <c r="E234" s="8" t="n">
        <v>107970.19</v>
      </c>
      <c r="F234" s="7" t="n">
        <v>12870</v>
      </c>
      <c r="G234" s="7" t="n">
        <v>0.029</v>
      </c>
      <c r="H234" s="7" t="n">
        <v>31</v>
      </c>
      <c r="I234" s="7" t="n">
        <v>91.7</v>
      </c>
      <c r="J234" s="9" t="n">
        <v>3.82</v>
      </c>
      <c r="K234" s="7" t="n">
        <v>1</v>
      </c>
      <c r="L234" s="9" t="n">
        <v>3.7</v>
      </c>
      <c r="M234" s="8" t="n">
        <v>946833.54</v>
      </c>
      <c r="N234" s="8" t="n">
        <v>184540.31</v>
      </c>
    </row>
    <row r="235" customFormat="false" ht="15" hidden="false" customHeight="false" outlineLevel="0" collapsed="false">
      <c r="A235" s="4" t="s">
        <v>80</v>
      </c>
      <c r="B235" s="4" t="s">
        <v>22</v>
      </c>
      <c r="C235" s="4" t="s">
        <v>18</v>
      </c>
      <c r="D235" s="4" t="s">
        <v>24</v>
      </c>
      <c r="E235" s="5" t="n">
        <v>49405.75</v>
      </c>
      <c r="F235" s="4" t="n">
        <v>9752</v>
      </c>
      <c r="G235" s="4" t="n">
        <v>0.093</v>
      </c>
      <c r="H235" s="4" t="n">
        <v>21</v>
      </c>
      <c r="I235" s="4" t="n">
        <v>87</v>
      </c>
      <c r="J235" s="6" t="n">
        <v>12.28</v>
      </c>
      <c r="K235" s="4" t="n">
        <v>0</v>
      </c>
      <c r="L235" s="6" t="n">
        <v>4.1</v>
      </c>
      <c r="M235" s="5" t="n">
        <v>761963.23</v>
      </c>
      <c r="N235" s="5" t="n">
        <v>150113.61</v>
      </c>
    </row>
    <row r="236" customFormat="false" ht="15" hidden="false" customHeight="false" outlineLevel="0" collapsed="false">
      <c r="A236" s="7" t="s">
        <v>81</v>
      </c>
      <c r="B236" s="7" t="s">
        <v>17</v>
      </c>
      <c r="C236" s="7" t="s">
        <v>33</v>
      </c>
      <c r="D236" s="7" t="s">
        <v>19</v>
      </c>
      <c r="E236" s="8" t="n">
        <v>50887.46</v>
      </c>
      <c r="F236" s="7" t="n">
        <v>9505</v>
      </c>
      <c r="G236" s="7" t="n">
        <v>0.091</v>
      </c>
      <c r="H236" s="7" t="n">
        <v>25</v>
      </c>
      <c r="I236" s="7" t="n">
        <v>89.7</v>
      </c>
      <c r="J236" s="9" t="n">
        <v>2.8</v>
      </c>
      <c r="K236" s="7" t="n">
        <v>0</v>
      </c>
      <c r="L236" s="9" t="n">
        <v>4.3</v>
      </c>
      <c r="M236" s="8" t="n">
        <v>812152.6</v>
      </c>
      <c r="N236" s="8" t="n">
        <v>138419.43</v>
      </c>
    </row>
    <row r="237" customFormat="false" ht="15" hidden="false" customHeight="false" outlineLevel="0" collapsed="false">
      <c r="A237" s="4" t="s">
        <v>81</v>
      </c>
      <c r="B237" s="4" t="s">
        <v>20</v>
      </c>
      <c r="C237" s="4" t="s">
        <v>33</v>
      </c>
      <c r="D237" s="4" t="s">
        <v>19</v>
      </c>
      <c r="E237" s="5" t="n">
        <v>41819.45</v>
      </c>
      <c r="F237" s="4" t="n">
        <v>9412</v>
      </c>
      <c r="G237" s="4" t="n">
        <v>0.15</v>
      </c>
      <c r="H237" s="4" t="n">
        <v>22</v>
      </c>
      <c r="I237" s="4" t="n">
        <v>91</v>
      </c>
      <c r="J237" s="6" t="n">
        <v>3.67</v>
      </c>
      <c r="K237" s="4" t="n">
        <v>0</v>
      </c>
      <c r="L237" s="6" t="n">
        <v>4.2</v>
      </c>
      <c r="M237" s="5" t="n">
        <v>804975.5</v>
      </c>
      <c r="N237" s="5" t="n">
        <v>140054.5</v>
      </c>
    </row>
    <row r="238" customFormat="false" ht="15" hidden="false" customHeight="false" outlineLevel="0" collapsed="false">
      <c r="A238" s="7" t="s">
        <v>81</v>
      </c>
      <c r="B238" s="7" t="s">
        <v>21</v>
      </c>
      <c r="C238" s="7" t="s">
        <v>33</v>
      </c>
      <c r="D238" s="7" t="s">
        <v>19</v>
      </c>
      <c r="E238" s="8" t="n">
        <v>35296.54</v>
      </c>
      <c r="F238" s="7" t="n">
        <v>9644</v>
      </c>
      <c r="G238" s="7" t="n">
        <v>0</v>
      </c>
      <c r="H238" s="7" t="n">
        <v>22</v>
      </c>
      <c r="I238" s="7" t="n">
        <v>88</v>
      </c>
      <c r="J238" s="9" t="n">
        <v>2.81</v>
      </c>
      <c r="K238" s="7" t="n">
        <v>0</v>
      </c>
      <c r="L238" s="9" t="n">
        <v>4.7</v>
      </c>
      <c r="M238" s="8" t="n">
        <v>752321.72</v>
      </c>
      <c r="N238" s="8" t="n">
        <v>137788.51</v>
      </c>
    </row>
    <row r="239" customFormat="false" ht="15" hidden="false" customHeight="false" outlineLevel="0" collapsed="false">
      <c r="A239" s="4" t="s">
        <v>81</v>
      </c>
      <c r="B239" s="4" t="s">
        <v>22</v>
      </c>
      <c r="C239" s="4" t="s">
        <v>33</v>
      </c>
      <c r="D239" s="4" t="s">
        <v>19</v>
      </c>
      <c r="E239" s="5" t="n">
        <v>47391.09</v>
      </c>
      <c r="F239" s="4" t="n">
        <v>11224</v>
      </c>
      <c r="G239" s="4" t="n">
        <v>0.147</v>
      </c>
      <c r="H239" s="4" t="n">
        <v>25</v>
      </c>
      <c r="I239" s="4" t="n">
        <v>88.4</v>
      </c>
      <c r="J239" s="6" t="n">
        <v>2.44</v>
      </c>
      <c r="K239" s="4" t="n">
        <v>0</v>
      </c>
      <c r="L239" s="6" t="n">
        <v>4.9</v>
      </c>
      <c r="M239" s="5" t="n">
        <v>836908.24</v>
      </c>
      <c r="N239" s="5" t="n">
        <v>141090.26</v>
      </c>
    </row>
    <row r="240" customFormat="false" ht="15" hidden="false" customHeight="false" outlineLevel="0" collapsed="false">
      <c r="A240" s="7" t="s">
        <v>82</v>
      </c>
      <c r="B240" s="7" t="s">
        <v>17</v>
      </c>
      <c r="C240" s="7" t="s">
        <v>26</v>
      </c>
      <c r="D240" s="7" t="s">
        <v>27</v>
      </c>
      <c r="E240" s="8" t="n">
        <v>69180.54</v>
      </c>
      <c r="F240" s="7" t="n">
        <v>5394</v>
      </c>
      <c r="G240" s="7" t="n">
        <v>0.126</v>
      </c>
      <c r="H240" s="7" t="n">
        <v>12</v>
      </c>
      <c r="I240" s="7" t="n">
        <v>82.9</v>
      </c>
      <c r="J240" s="9" t="n">
        <v>3.27</v>
      </c>
      <c r="K240" s="7" t="n">
        <v>0</v>
      </c>
      <c r="L240" s="9" t="n">
        <v>3.3</v>
      </c>
      <c r="M240" s="8" t="n">
        <v>674289.1</v>
      </c>
      <c r="N240" s="8" t="n">
        <v>117773.79</v>
      </c>
    </row>
    <row r="241" customFormat="false" ht="15" hidden="false" customHeight="false" outlineLevel="0" collapsed="false">
      <c r="A241" s="4" t="s">
        <v>82</v>
      </c>
      <c r="B241" s="4" t="s">
        <v>20</v>
      </c>
      <c r="C241" s="4" t="s">
        <v>26</v>
      </c>
      <c r="D241" s="4" t="s">
        <v>27</v>
      </c>
      <c r="E241" s="5" t="n">
        <v>33987.33</v>
      </c>
      <c r="F241" s="4" t="n">
        <v>5014</v>
      </c>
      <c r="G241" s="4" t="n">
        <v>0.246</v>
      </c>
      <c r="H241" s="4" t="n">
        <v>17</v>
      </c>
      <c r="I241" s="4" t="n">
        <v>94.3</v>
      </c>
      <c r="J241" s="6" t="n">
        <v>10.34</v>
      </c>
      <c r="K241" s="4" t="n">
        <v>0</v>
      </c>
      <c r="L241" s="6" t="n">
        <v>3.9</v>
      </c>
      <c r="M241" s="5" t="n">
        <v>622892.42</v>
      </c>
      <c r="N241" s="5" t="n">
        <v>101032.52</v>
      </c>
    </row>
    <row r="242" customFormat="false" ht="15" hidden="false" customHeight="false" outlineLevel="0" collapsed="false">
      <c r="A242" s="7" t="s">
        <v>82</v>
      </c>
      <c r="B242" s="7" t="s">
        <v>21</v>
      </c>
      <c r="C242" s="7" t="s">
        <v>26</v>
      </c>
      <c r="D242" s="7" t="s">
        <v>27</v>
      </c>
      <c r="E242" s="8" t="n">
        <v>58785.33</v>
      </c>
      <c r="F242" s="7" t="n">
        <v>4467</v>
      </c>
      <c r="G242" s="7" t="n">
        <v>0.229</v>
      </c>
      <c r="H242" s="7" t="n">
        <v>14</v>
      </c>
      <c r="I242" s="7" t="n">
        <v>90.7</v>
      </c>
      <c r="J242" s="9" t="n">
        <v>1.92</v>
      </c>
      <c r="K242" s="7" t="n">
        <v>0</v>
      </c>
      <c r="L242" s="9" t="n">
        <v>3.7</v>
      </c>
      <c r="M242" s="8" t="n">
        <v>673348.56</v>
      </c>
      <c r="N242" s="8" t="n">
        <v>69464.59</v>
      </c>
    </row>
    <row r="243" customFormat="false" ht="15" hidden="false" customHeight="false" outlineLevel="0" collapsed="false">
      <c r="A243" s="4" t="s">
        <v>82</v>
      </c>
      <c r="B243" s="4" t="s">
        <v>22</v>
      </c>
      <c r="C243" s="4" t="s">
        <v>26</v>
      </c>
      <c r="D243" s="4" t="s">
        <v>27</v>
      </c>
      <c r="E243" s="5" t="n">
        <v>16451.85</v>
      </c>
      <c r="F243" s="4" t="n">
        <v>4678</v>
      </c>
      <c r="G243" s="4" t="n">
        <v>0.133</v>
      </c>
      <c r="H243" s="4" t="n">
        <v>11</v>
      </c>
      <c r="I243" s="4" t="n">
        <v>95.9</v>
      </c>
      <c r="J243" s="6" t="n">
        <v>3.1</v>
      </c>
      <c r="K243" s="4" t="n">
        <v>0</v>
      </c>
      <c r="L243" s="6" t="n">
        <v>3.9</v>
      </c>
      <c r="M243" s="5" t="n">
        <v>606278.3</v>
      </c>
      <c r="N243" s="5" t="n">
        <v>102213.26</v>
      </c>
    </row>
    <row r="244" customFormat="false" ht="15" hidden="false" customHeight="false" outlineLevel="0" collapsed="false">
      <c r="A244" s="7" t="s">
        <v>83</v>
      </c>
      <c r="B244" s="7" t="s">
        <v>17</v>
      </c>
      <c r="C244" s="7" t="s">
        <v>18</v>
      </c>
      <c r="D244" s="7" t="s">
        <v>24</v>
      </c>
      <c r="E244" s="8" t="n">
        <v>53367.73</v>
      </c>
      <c r="F244" s="7" t="n">
        <v>7291</v>
      </c>
      <c r="G244" s="7" t="n">
        <v>0.146</v>
      </c>
      <c r="H244" s="7" t="n">
        <v>18</v>
      </c>
      <c r="I244" s="7" t="n">
        <v>90.6</v>
      </c>
      <c r="J244" s="9" t="n">
        <v>6.34</v>
      </c>
      <c r="K244" s="7" t="n">
        <v>1</v>
      </c>
      <c r="L244" s="9" t="n">
        <v>3.8</v>
      </c>
      <c r="M244" s="8" t="n">
        <v>712219.81</v>
      </c>
      <c r="N244" s="8" t="n">
        <v>85906.54</v>
      </c>
    </row>
    <row r="245" customFormat="false" ht="15" hidden="false" customHeight="false" outlineLevel="0" collapsed="false">
      <c r="A245" s="4" t="s">
        <v>83</v>
      </c>
      <c r="B245" s="4" t="s">
        <v>20</v>
      </c>
      <c r="C245" s="4" t="s">
        <v>18</v>
      </c>
      <c r="D245" s="4" t="s">
        <v>24</v>
      </c>
      <c r="E245" s="5" t="n">
        <v>27194.64</v>
      </c>
      <c r="F245" s="4" t="n">
        <v>7404</v>
      </c>
      <c r="G245" s="4" t="n">
        <v>0.088</v>
      </c>
      <c r="H245" s="4" t="n">
        <v>18</v>
      </c>
      <c r="I245" s="4" t="n">
        <v>90.2</v>
      </c>
      <c r="J245" s="6" t="n">
        <v>1.2</v>
      </c>
      <c r="K245" s="4" t="n">
        <v>0</v>
      </c>
      <c r="L245" s="6" t="n">
        <v>3.4</v>
      </c>
      <c r="M245" s="5" t="n">
        <v>672670.54</v>
      </c>
      <c r="N245" s="5" t="n">
        <v>132684.18</v>
      </c>
    </row>
    <row r="246" customFormat="false" ht="15" hidden="false" customHeight="false" outlineLevel="0" collapsed="false">
      <c r="A246" s="7" t="s">
        <v>83</v>
      </c>
      <c r="B246" s="7" t="s">
        <v>21</v>
      </c>
      <c r="C246" s="7" t="s">
        <v>18</v>
      </c>
      <c r="D246" s="7" t="s">
        <v>24</v>
      </c>
      <c r="E246" s="8" t="n">
        <v>66962.74</v>
      </c>
      <c r="F246" s="7" t="n">
        <v>7880</v>
      </c>
      <c r="G246" s="7" t="n">
        <v>0.116</v>
      </c>
      <c r="H246" s="7" t="n">
        <v>19</v>
      </c>
      <c r="I246" s="7" t="n">
        <v>90.4</v>
      </c>
      <c r="J246" s="9" t="n">
        <v>4.5</v>
      </c>
      <c r="K246" s="7" t="n">
        <v>0</v>
      </c>
      <c r="L246" s="9" t="n">
        <v>3.3</v>
      </c>
      <c r="M246" s="8" t="n">
        <v>732667.92</v>
      </c>
      <c r="N246" s="8" t="n">
        <v>128654.46</v>
      </c>
    </row>
    <row r="247" customFormat="false" ht="15" hidden="false" customHeight="false" outlineLevel="0" collapsed="false">
      <c r="A247" s="4" t="s">
        <v>83</v>
      </c>
      <c r="B247" s="4" t="s">
        <v>22</v>
      </c>
      <c r="C247" s="4" t="s">
        <v>18</v>
      </c>
      <c r="D247" s="4" t="s">
        <v>24</v>
      </c>
      <c r="E247" s="5" t="n">
        <v>73540.99</v>
      </c>
      <c r="F247" s="4" t="n">
        <v>8773</v>
      </c>
      <c r="G247" s="4" t="n">
        <v>0.035</v>
      </c>
      <c r="H247" s="4" t="n">
        <v>21</v>
      </c>
      <c r="I247" s="4" t="n">
        <v>84.4</v>
      </c>
      <c r="J247" s="6" t="n">
        <v>6.68</v>
      </c>
      <c r="K247" s="4" t="n">
        <v>0</v>
      </c>
      <c r="L247" s="6" t="n">
        <v>3.6</v>
      </c>
      <c r="M247" s="5" t="n">
        <v>723531.4</v>
      </c>
      <c r="N247" s="5" t="n">
        <v>108794.85</v>
      </c>
    </row>
    <row r="248" customFormat="false" ht="15" hidden="false" customHeight="false" outlineLevel="0" collapsed="false">
      <c r="A248" s="7" t="s">
        <v>84</v>
      </c>
      <c r="B248" s="7" t="s">
        <v>17</v>
      </c>
      <c r="C248" s="7" t="s">
        <v>18</v>
      </c>
      <c r="D248" s="7" t="s">
        <v>34</v>
      </c>
      <c r="E248" s="8" t="n">
        <v>68212.29</v>
      </c>
      <c r="F248" s="7" t="n">
        <v>4713</v>
      </c>
      <c r="G248" s="7" t="n">
        <v>0.198</v>
      </c>
      <c r="H248" s="7" t="n">
        <v>15</v>
      </c>
      <c r="I248" s="7" t="n">
        <v>82.6</v>
      </c>
      <c r="J248" s="9" t="n">
        <v>4.07</v>
      </c>
      <c r="K248" s="7" t="n">
        <v>1</v>
      </c>
      <c r="L248" s="9" t="n">
        <v>3</v>
      </c>
      <c r="M248" s="8" t="n">
        <v>641564.6</v>
      </c>
      <c r="N248" s="8" t="n">
        <v>90468.96</v>
      </c>
    </row>
    <row r="249" customFormat="false" ht="15" hidden="false" customHeight="false" outlineLevel="0" collapsed="false">
      <c r="A249" s="4" t="s">
        <v>84</v>
      </c>
      <c r="B249" s="4" t="s">
        <v>20</v>
      </c>
      <c r="C249" s="4" t="s">
        <v>18</v>
      </c>
      <c r="D249" s="4" t="s">
        <v>34</v>
      </c>
      <c r="E249" s="5" t="n">
        <v>57225.98</v>
      </c>
      <c r="F249" s="4" t="n">
        <v>2842</v>
      </c>
      <c r="G249" s="4" t="n">
        <v>0.112</v>
      </c>
      <c r="H249" s="4" t="n">
        <v>10</v>
      </c>
      <c r="I249" s="4" t="n">
        <v>79.5</v>
      </c>
      <c r="J249" s="6" t="n">
        <v>5.45</v>
      </c>
      <c r="K249" s="4" t="n">
        <v>0</v>
      </c>
      <c r="L249" s="6" t="n">
        <v>3.4</v>
      </c>
      <c r="M249" s="5" t="n">
        <v>536545.49</v>
      </c>
      <c r="N249" s="5" t="n">
        <v>97917.45</v>
      </c>
    </row>
    <row r="250" customFormat="false" ht="15" hidden="false" customHeight="false" outlineLevel="0" collapsed="false">
      <c r="A250" s="7" t="s">
        <v>84</v>
      </c>
      <c r="B250" s="7" t="s">
        <v>21</v>
      </c>
      <c r="C250" s="7" t="s">
        <v>18</v>
      </c>
      <c r="D250" s="7" t="s">
        <v>34</v>
      </c>
      <c r="E250" s="8" t="n">
        <v>42932.02</v>
      </c>
      <c r="F250" s="7" t="n">
        <v>3872</v>
      </c>
      <c r="G250" s="7" t="n">
        <v>0.171</v>
      </c>
      <c r="H250" s="7" t="n">
        <v>12</v>
      </c>
      <c r="I250" s="7" t="n">
        <v>83.2</v>
      </c>
      <c r="J250" s="9" t="n">
        <v>15.58</v>
      </c>
      <c r="K250" s="7" t="n">
        <v>0</v>
      </c>
      <c r="L250" s="9" t="n">
        <v>3.3</v>
      </c>
      <c r="M250" s="8" t="n">
        <v>527681.56</v>
      </c>
      <c r="N250" s="8" t="n">
        <v>63153.05</v>
      </c>
    </row>
    <row r="251" customFormat="false" ht="15" hidden="false" customHeight="false" outlineLevel="0" collapsed="false">
      <c r="A251" s="4" t="s">
        <v>84</v>
      </c>
      <c r="B251" s="4" t="s">
        <v>22</v>
      </c>
      <c r="C251" s="4" t="s">
        <v>18</v>
      </c>
      <c r="D251" s="4" t="s">
        <v>34</v>
      </c>
      <c r="E251" s="5" t="n">
        <v>39341.45</v>
      </c>
      <c r="F251" s="4" t="n">
        <v>1375</v>
      </c>
      <c r="G251" s="4" t="n">
        <v>0.093</v>
      </c>
      <c r="H251" s="4" t="n">
        <v>5</v>
      </c>
      <c r="I251" s="4" t="n">
        <v>95</v>
      </c>
      <c r="J251" s="6" t="n">
        <v>5.32</v>
      </c>
      <c r="K251" s="4" t="n">
        <v>0</v>
      </c>
      <c r="L251" s="6" t="n">
        <v>4</v>
      </c>
      <c r="M251" s="5" t="n">
        <v>529598.94</v>
      </c>
      <c r="N251" s="5" t="n">
        <v>84334.33</v>
      </c>
    </row>
    <row r="252" customFormat="false" ht="15" hidden="false" customHeight="false" outlineLevel="0" collapsed="false">
      <c r="A252" s="7" t="s">
        <v>85</v>
      </c>
      <c r="B252" s="7" t="s">
        <v>17</v>
      </c>
      <c r="C252" s="7" t="s">
        <v>18</v>
      </c>
      <c r="D252" s="7" t="s">
        <v>24</v>
      </c>
      <c r="E252" s="8" t="n">
        <v>37324.23</v>
      </c>
      <c r="F252" s="7" t="n">
        <v>5957</v>
      </c>
      <c r="G252" s="7" t="n">
        <v>0.071</v>
      </c>
      <c r="H252" s="7" t="n">
        <v>12</v>
      </c>
      <c r="I252" s="7" t="n">
        <v>85.9</v>
      </c>
      <c r="J252" s="9" t="n">
        <v>0.37</v>
      </c>
      <c r="K252" s="7" t="n">
        <v>0</v>
      </c>
      <c r="L252" s="9" t="n">
        <v>3.8</v>
      </c>
      <c r="M252" s="8" t="n">
        <v>570963.31</v>
      </c>
      <c r="N252" s="8" t="n">
        <v>87342.25</v>
      </c>
    </row>
    <row r="253" customFormat="false" ht="15" hidden="false" customHeight="false" outlineLevel="0" collapsed="false">
      <c r="A253" s="4" t="s">
        <v>85</v>
      </c>
      <c r="B253" s="4" t="s">
        <v>20</v>
      </c>
      <c r="C253" s="4" t="s">
        <v>18</v>
      </c>
      <c r="D253" s="4" t="s">
        <v>24</v>
      </c>
      <c r="E253" s="5" t="n">
        <v>113736</v>
      </c>
      <c r="F253" s="4" t="n">
        <v>8961</v>
      </c>
      <c r="G253" s="4" t="n">
        <v>0.202</v>
      </c>
      <c r="H253" s="4" t="n">
        <v>24</v>
      </c>
      <c r="I253" s="4" t="n">
        <v>86.2</v>
      </c>
      <c r="J253" s="6" t="n">
        <v>21.63</v>
      </c>
      <c r="K253" s="4" t="n">
        <v>0</v>
      </c>
      <c r="L253" s="6" t="n">
        <v>4</v>
      </c>
      <c r="M253" s="5" t="n">
        <v>870937.4</v>
      </c>
      <c r="N253" s="5" t="n">
        <v>175282.74</v>
      </c>
    </row>
    <row r="254" customFormat="false" ht="15" hidden="false" customHeight="false" outlineLevel="0" collapsed="false">
      <c r="A254" s="7" t="s">
        <v>85</v>
      </c>
      <c r="B254" s="7" t="s">
        <v>21</v>
      </c>
      <c r="C254" s="7" t="s">
        <v>18</v>
      </c>
      <c r="D254" s="7" t="s">
        <v>24</v>
      </c>
      <c r="E254" s="8" t="n">
        <v>33173.95</v>
      </c>
      <c r="F254" s="7" t="n">
        <v>6545</v>
      </c>
      <c r="G254" s="7" t="n">
        <v>0.169</v>
      </c>
      <c r="H254" s="7" t="n">
        <v>15</v>
      </c>
      <c r="I254" s="7" t="n">
        <v>84.4</v>
      </c>
      <c r="J254" s="9" t="n">
        <v>2.48</v>
      </c>
      <c r="K254" s="7" t="n">
        <v>0</v>
      </c>
      <c r="L254" s="9" t="n">
        <v>3.9</v>
      </c>
      <c r="M254" s="8" t="n">
        <v>596969.27</v>
      </c>
      <c r="N254" s="8" t="n">
        <v>105669.51</v>
      </c>
    </row>
    <row r="255" customFormat="false" ht="15" hidden="false" customHeight="false" outlineLevel="0" collapsed="false">
      <c r="A255" s="4" t="s">
        <v>85</v>
      </c>
      <c r="B255" s="4" t="s">
        <v>22</v>
      </c>
      <c r="C255" s="4" t="s">
        <v>18</v>
      </c>
      <c r="D255" s="4" t="s">
        <v>24</v>
      </c>
      <c r="E255" s="5" t="n">
        <v>25818.08</v>
      </c>
      <c r="F255" s="4" t="n">
        <v>5457</v>
      </c>
      <c r="G255" s="4" t="n">
        <v>0</v>
      </c>
      <c r="H255" s="4" t="n">
        <v>11</v>
      </c>
      <c r="I255" s="4" t="n">
        <v>95.4</v>
      </c>
      <c r="J255" s="6" t="n">
        <v>2.705</v>
      </c>
      <c r="K255" s="4" t="n">
        <v>0</v>
      </c>
      <c r="L255" s="6" t="n">
        <v>3.7</v>
      </c>
      <c r="M255" s="5" t="n">
        <v>647512.85</v>
      </c>
      <c r="N255" s="5" t="n">
        <v>153835.57</v>
      </c>
    </row>
    <row r="256" customFormat="false" ht="15" hidden="false" customHeight="false" outlineLevel="0" collapsed="false">
      <c r="A256" s="7" t="s">
        <v>86</v>
      </c>
      <c r="B256" s="7" t="s">
        <v>17</v>
      </c>
      <c r="C256" s="7" t="s">
        <v>33</v>
      </c>
      <c r="D256" s="7" t="s">
        <v>19</v>
      </c>
      <c r="E256" s="8" t="n">
        <v>47241.92</v>
      </c>
      <c r="F256" s="7" t="n">
        <v>4264</v>
      </c>
      <c r="G256" s="7" t="n">
        <v>0.069</v>
      </c>
      <c r="H256" s="7" t="n">
        <v>13</v>
      </c>
      <c r="I256" s="7" t="n">
        <v>95.3</v>
      </c>
      <c r="J256" s="9" t="n">
        <v>0.85</v>
      </c>
      <c r="K256" s="7" t="n">
        <v>0</v>
      </c>
      <c r="L256" s="9" t="n">
        <v>4.3</v>
      </c>
      <c r="M256" s="8" t="n">
        <v>658072.14</v>
      </c>
      <c r="N256" s="8" t="n">
        <v>110595.89</v>
      </c>
    </row>
    <row r="257" customFormat="false" ht="15" hidden="false" customHeight="false" outlineLevel="0" collapsed="false">
      <c r="A257" s="4" t="s">
        <v>86</v>
      </c>
      <c r="B257" s="4" t="s">
        <v>20</v>
      </c>
      <c r="C257" s="4" t="s">
        <v>33</v>
      </c>
      <c r="D257" s="4" t="s">
        <v>19</v>
      </c>
      <c r="E257" s="5" t="n">
        <v>61650.79</v>
      </c>
      <c r="F257" s="4" t="n">
        <v>5321</v>
      </c>
      <c r="G257" s="4" t="n">
        <v>0.126</v>
      </c>
      <c r="H257" s="4" t="n">
        <v>17</v>
      </c>
      <c r="I257" s="4" t="n">
        <v>89.2</v>
      </c>
      <c r="J257" s="6" t="n">
        <v>2.13</v>
      </c>
      <c r="K257" s="4" t="n">
        <v>0</v>
      </c>
      <c r="L257" s="6" t="n">
        <v>4</v>
      </c>
      <c r="M257" s="5" t="n">
        <v>723305.11</v>
      </c>
      <c r="N257" s="5" t="n">
        <v>128468.7</v>
      </c>
    </row>
    <row r="258" customFormat="false" ht="15" hidden="false" customHeight="false" outlineLevel="0" collapsed="false">
      <c r="A258" s="7" t="s">
        <v>86</v>
      </c>
      <c r="B258" s="7" t="s">
        <v>21</v>
      </c>
      <c r="C258" s="7" t="s">
        <v>33</v>
      </c>
      <c r="D258" s="7" t="s">
        <v>19</v>
      </c>
      <c r="E258" s="8" t="n">
        <v>62582.71</v>
      </c>
      <c r="F258" s="7" t="n">
        <v>5479</v>
      </c>
      <c r="G258" s="7" t="n">
        <v>0.048</v>
      </c>
      <c r="H258" s="7" t="n">
        <v>16</v>
      </c>
      <c r="I258" s="7" t="n">
        <v>81.2</v>
      </c>
      <c r="J258" s="9" t="n">
        <v>1.46</v>
      </c>
      <c r="K258" s="7" t="n">
        <v>0</v>
      </c>
      <c r="L258" s="9" t="n">
        <v>4.5</v>
      </c>
      <c r="M258" s="8" t="n">
        <v>640666.53</v>
      </c>
      <c r="N258" s="8" t="n">
        <v>134919.16</v>
      </c>
    </row>
    <row r="259" customFormat="false" ht="15" hidden="false" customHeight="false" outlineLevel="0" collapsed="false">
      <c r="A259" s="4" t="s">
        <v>86</v>
      </c>
      <c r="B259" s="4" t="s">
        <v>22</v>
      </c>
      <c r="C259" s="4" t="s">
        <v>33</v>
      </c>
      <c r="D259" s="4" t="s">
        <v>19</v>
      </c>
      <c r="E259" s="5" t="n">
        <v>47944.14</v>
      </c>
      <c r="F259" s="4" t="n">
        <v>6169</v>
      </c>
      <c r="G259" s="4" t="n">
        <v>0.119</v>
      </c>
      <c r="H259" s="4" t="n">
        <v>17</v>
      </c>
      <c r="I259" s="4" t="n">
        <v>92.2</v>
      </c>
      <c r="J259" s="6" t="n">
        <v>3.02</v>
      </c>
      <c r="K259" s="4" t="n">
        <v>0</v>
      </c>
      <c r="L259" s="6" t="n">
        <v>4.1</v>
      </c>
      <c r="M259" s="5" t="n">
        <v>670629.48</v>
      </c>
      <c r="N259" s="5" t="n">
        <v>100140.8</v>
      </c>
    </row>
    <row r="260" customFormat="false" ht="15" hidden="false" customHeight="false" outlineLevel="0" collapsed="false">
      <c r="A260" s="7" t="s">
        <v>87</v>
      </c>
      <c r="B260" s="7" t="s">
        <v>17</v>
      </c>
      <c r="C260" s="7" t="s">
        <v>33</v>
      </c>
      <c r="D260" s="7" t="s">
        <v>34</v>
      </c>
      <c r="E260" s="8" t="n">
        <v>46495.4</v>
      </c>
      <c r="F260" s="7" t="n">
        <v>9908</v>
      </c>
      <c r="G260" s="7" t="n">
        <v>0.121</v>
      </c>
      <c r="H260" s="7" t="n">
        <v>22</v>
      </c>
      <c r="I260" s="7" t="n">
        <v>89.4</v>
      </c>
      <c r="J260" s="9" t="n">
        <v>3.22</v>
      </c>
      <c r="K260" s="7" t="n">
        <v>0</v>
      </c>
      <c r="L260" s="9" t="n">
        <v>3.7</v>
      </c>
      <c r="M260" s="8" t="n">
        <v>721079.35</v>
      </c>
      <c r="N260" s="8" t="n">
        <v>115295.05</v>
      </c>
    </row>
    <row r="261" customFormat="false" ht="15" hidden="false" customHeight="false" outlineLevel="0" collapsed="false">
      <c r="A261" s="4" t="s">
        <v>87</v>
      </c>
      <c r="B261" s="4" t="s">
        <v>20</v>
      </c>
      <c r="C261" s="4" t="s">
        <v>33</v>
      </c>
      <c r="D261" s="4" t="s">
        <v>34</v>
      </c>
      <c r="E261" s="5" t="n">
        <v>72961.95</v>
      </c>
      <c r="F261" s="4" t="n">
        <v>9996</v>
      </c>
      <c r="G261" s="4" t="n">
        <v>0.106</v>
      </c>
      <c r="H261" s="4" t="n">
        <v>22</v>
      </c>
      <c r="I261" s="4" t="n">
        <v>89.1</v>
      </c>
      <c r="J261" s="6" t="n">
        <v>15.66</v>
      </c>
      <c r="K261" s="4" t="n">
        <v>0</v>
      </c>
      <c r="L261" s="6" t="n">
        <v>3.4</v>
      </c>
      <c r="M261" s="5" t="n">
        <v>810355.02</v>
      </c>
      <c r="N261" s="5" t="n">
        <v>131510</v>
      </c>
    </row>
    <row r="262" customFormat="false" ht="15" hidden="false" customHeight="false" outlineLevel="0" collapsed="false">
      <c r="A262" s="7" t="s">
        <v>87</v>
      </c>
      <c r="B262" s="7" t="s">
        <v>21</v>
      </c>
      <c r="C262" s="7" t="s">
        <v>33</v>
      </c>
      <c r="D262" s="7" t="s">
        <v>34</v>
      </c>
      <c r="E262" s="8" t="n">
        <v>59060.05</v>
      </c>
      <c r="F262" s="7" t="n">
        <v>9702</v>
      </c>
      <c r="G262" s="7" t="n">
        <v>0.201</v>
      </c>
      <c r="H262" s="7" t="n">
        <v>23</v>
      </c>
      <c r="I262" s="7" t="n">
        <v>80.9</v>
      </c>
      <c r="J262" s="9" t="n">
        <v>6.96</v>
      </c>
      <c r="K262" s="7" t="n">
        <v>0</v>
      </c>
      <c r="L262" s="9" t="n">
        <v>3.2</v>
      </c>
      <c r="M262" s="8" t="n">
        <v>761919.25</v>
      </c>
      <c r="N262" s="8" t="n">
        <v>111893.06</v>
      </c>
    </row>
    <row r="263" customFormat="false" ht="15" hidden="false" customHeight="false" outlineLevel="0" collapsed="false">
      <c r="A263" s="4" t="s">
        <v>87</v>
      </c>
      <c r="B263" s="4" t="s">
        <v>22</v>
      </c>
      <c r="C263" s="4" t="s">
        <v>33</v>
      </c>
      <c r="D263" s="4" t="s">
        <v>34</v>
      </c>
      <c r="E263" s="5" t="n">
        <v>26248.1</v>
      </c>
      <c r="F263" s="4" t="n">
        <v>9314</v>
      </c>
      <c r="G263" s="4" t="n">
        <v>0.186</v>
      </c>
      <c r="H263" s="4" t="n">
        <v>21</v>
      </c>
      <c r="I263" s="4" t="n">
        <v>83.7</v>
      </c>
      <c r="J263" s="6" t="n">
        <v>4.62</v>
      </c>
      <c r="K263" s="4" t="n">
        <v>0</v>
      </c>
      <c r="L263" s="6" t="n">
        <v>3.3</v>
      </c>
      <c r="M263" s="5" t="n">
        <v>737070.18</v>
      </c>
      <c r="N263" s="5" t="n">
        <v>117593.97</v>
      </c>
    </row>
    <row r="264" customFormat="false" ht="15" hidden="false" customHeight="false" outlineLevel="0" collapsed="false">
      <c r="A264" s="7" t="s">
        <v>88</v>
      </c>
      <c r="B264" s="7" t="s">
        <v>17</v>
      </c>
      <c r="C264" s="7" t="s">
        <v>30</v>
      </c>
      <c r="D264" s="7" t="s">
        <v>27</v>
      </c>
      <c r="E264" s="8" t="n">
        <v>69900.12</v>
      </c>
      <c r="F264" s="7" t="n">
        <v>8055</v>
      </c>
      <c r="G264" s="7" t="n">
        <v>0.281</v>
      </c>
      <c r="H264" s="7" t="n">
        <v>22</v>
      </c>
      <c r="I264" s="7" t="n">
        <v>85.6</v>
      </c>
      <c r="J264" s="9" t="n">
        <v>10.68</v>
      </c>
      <c r="K264" s="7" t="n">
        <v>1</v>
      </c>
      <c r="L264" s="9" t="n">
        <v>2.9</v>
      </c>
      <c r="M264" s="8" t="n">
        <v>776992.93</v>
      </c>
      <c r="N264" s="8" t="n">
        <v>101598.32</v>
      </c>
    </row>
    <row r="265" customFormat="false" ht="15" hidden="false" customHeight="false" outlineLevel="0" collapsed="false">
      <c r="A265" s="4" t="s">
        <v>88</v>
      </c>
      <c r="B265" s="4" t="s">
        <v>20</v>
      </c>
      <c r="C265" s="4" t="s">
        <v>30</v>
      </c>
      <c r="D265" s="4" t="s">
        <v>27</v>
      </c>
      <c r="E265" s="5" t="n">
        <v>51781.6</v>
      </c>
      <c r="F265" s="4" t="n">
        <v>5648</v>
      </c>
      <c r="G265" s="4" t="n">
        <v>0.059</v>
      </c>
      <c r="H265" s="4" t="n">
        <v>13</v>
      </c>
      <c r="I265" s="4" t="n">
        <v>85.5</v>
      </c>
      <c r="J265" s="6" t="n">
        <v>4.04</v>
      </c>
      <c r="K265" s="4" t="n">
        <v>0</v>
      </c>
      <c r="L265" s="6" t="n">
        <v>3.7</v>
      </c>
      <c r="M265" s="5" t="n">
        <v>676337.41</v>
      </c>
      <c r="N265" s="5" t="n">
        <v>104355.77</v>
      </c>
    </row>
    <row r="266" customFormat="false" ht="15" hidden="false" customHeight="false" outlineLevel="0" collapsed="false">
      <c r="A266" s="7" t="s">
        <v>88</v>
      </c>
      <c r="B266" s="7" t="s">
        <v>21</v>
      </c>
      <c r="C266" s="7" t="s">
        <v>30</v>
      </c>
      <c r="D266" s="7" t="s">
        <v>27</v>
      </c>
      <c r="E266" s="8" t="n">
        <v>70799.64</v>
      </c>
      <c r="F266" s="7" t="n">
        <v>10076</v>
      </c>
      <c r="G266" s="7" t="n">
        <v>0.152</v>
      </c>
      <c r="H266" s="7" t="n">
        <v>24</v>
      </c>
      <c r="I266" s="7" t="n">
        <v>84.8</v>
      </c>
      <c r="J266" s="9" t="n">
        <v>1.87</v>
      </c>
      <c r="K266" s="7" t="n">
        <v>0</v>
      </c>
      <c r="L266" s="9" t="n">
        <v>3.5</v>
      </c>
      <c r="M266" s="8" t="n">
        <v>828219.67</v>
      </c>
      <c r="N266" s="8" t="n">
        <v>179806.87</v>
      </c>
    </row>
    <row r="267" customFormat="false" ht="15" hidden="false" customHeight="false" outlineLevel="0" collapsed="false">
      <c r="A267" s="4" t="s">
        <v>88</v>
      </c>
      <c r="B267" s="4" t="s">
        <v>22</v>
      </c>
      <c r="C267" s="4" t="s">
        <v>30</v>
      </c>
      <c r="D267" s="4" t="s">
        <v>27</v>
      </c>
      <c r="E267" s="5" t="n">
        <v>53546.34</v>
      </c>
      <c r="F267" s="4" t="n">
        <v>8004</v>
      </c>
      <c r="G267" s="4" t="n">
        <v>0</v>
      </c>
      <c r="H267" s="4" t="n">
        <v>21</v>
      </c>
      <c r="I267" s="4" t="n">
        <v>95.2</v>
      </c>
      <c r="J267" s="6" t="n">
        <v>2.83</v>
      </c>
      <c r="K267" s="4" t="n">
        <v>0</v>
      </c>
      <c r="L267" s="6" t="n">
        <v>3</v>
      </c>
      <c r="M267" s="5" t="n">
        <v>763159.92</v>
      </c>
      <c r="N267" s="5" t="n">
        <v>177104.87</v>
      </c>
    </row>
    <row r="268" customFormat="false" ht="15" hidden="false" customHeight="false" outlineLevel="0" collapsed="false">
      <c r="A268" s="7" t="s">
        <v>89</v>
      </c>
      <c r="B268" s="7" t="s">
        <v>17</v>
      </c>
      <c r="C268" s="7" t="s">
        <v>18</v>
      </c>
      <c r="D268" s="7" t="s">
        <v>24</v>
      </c>
      <c r="E268" s="8" t="n">
        <v>76942.2</v>
      </c>
      <c r="F268" s="7" t="n">
        <v>8934</v>
      </c>
      <c r="G268" s="7" t="n">
        <v>0.084</v>
      </c>
      <c r="H268" s="7" t="n">
        <v>20</v>
      </c>
      <c r="I268" s="7" t="n">
        <v>91</v>
      </c>
      <c r="J268" s="9" t="n">
        <v>0.95</v>
      </c>
      <c r="K268" s="7" t="n">
        <v>0</v>
      </c>
      <c r="L268" s="9" t="n">
        <v>3.2</v>
      </c>
      <c r="M268" s="8" t="n">
        <v>802001.68</v>
      </c>
      <c r="N268" s="8" t="n">
        <v>159715.82</v>
      </c>
    </row>
    <row r="269" customFormat="false" ht="15" hidden="false" customHeight="false" outlineLevel="0" collapsed="false">
      <c r="A269" s="4" t="s">
        <v>89</v>
      </c>
      <c r="B269" s="4" t="s">
        <v>20</v>
      </c>
      <c r="C269" s="4" t="s">
        <v>18</v>
      </c>
      <c r="D269" s="4" t="s">
        <v>24</v>
      </c>
      <c r="E269" s="5" t="n">
        <v>48060.78</v>
      </c>
      <c r="F269" s="4" t="n">
        <v>8733</v>
      </c>
      <c r="G269" s="4" t="n">
        <v>0</v>
      </c>
      <c r="H269" s="4" t="n">
        <v>20</v>
      </c>
      <c r="I269" s="4" t="n">
        <v>89.9</v>
      </c>
      <c r="J269" s="6" t="n">
        <v>0.8</v>
      </c>
      <c r="K269" s="4" t="n">
        <v>0</v>
      </c>
      <c r="L269" s="6" t="n">
        <v>3.4</v>
      </c>
      <c r="M269" s="5" t="n">
        <v>750471.34</v>
      </c>
      <c r="N269" s="5" t="n">
        <v>133788.04</v>
      </c>
    </row>
    <row r="270" customFormat="false" ht="15" hidden="false" customHeight="false" outlineLevel="0" collapsed="false">
      <c r="A270" s="7" t="s">
        <v>89</v>
      </c>
      <c r="B270" s="7" t="s">
        <v>21</v>
      </c>
      <c r="C270" s="7" t="s">
        <v>18</v>
      </c>
      <c r="D270" s="7" t="s">
        <v>24</v>
      </c>
      <c r="E270" s="8" t="n">
        <v>57390.04</v>
      </c>
      <c r="F270" s="7" t="n">
        <v>7374</v>
      </c>
      <c r="G270" s="7" t="n">
        <v>0.21</v>
      </c>
      <c r="H270" s="7" t="n">
        <v>21</v>
      </c>
      <c r="I270" s="7" t="n">
        <v>91.8</v>
      </c>
      <c r="J270" s="9" t="n">
        <v>0.2</v>
      </c>
      <c r="K270" s="7" t="n">
        <v>0</v>
      </c>
      <c r="L270" s="9" t="n">
        <v>3.1</v>
      </c>
      <c r="M270" s="8" t="n">
        <v>679230.86</v>
      </c>
      <c r="N270" s="8" t="n">
        <v>106927.58</v>
      </c>
    </row>
    <row r="271" customFormat="false" ht="15" hidden="false" customHeight="false" outlineLevel="0" collapsed="false">
      <c r="A271" s="4" t="s">
        <v>89</v>
      </c>
      <c r="B271" s="4" t="s">
        <v>22</v>
      </c>
      <c r="C271" s="4" t="s">
        <v>18</v>
      </c>
      <c r="D271" s="4" t="s">
        <v>24</v>
      </c>
      <c r="E271" s="5" t="n">
        <v>21536.18</v>
      </c>
      <c r="F271" s="4" t="n">
        <v>8119</v>
      </c>
      <c r="G271" s="4" t="n">
        <v>0.227</v>
      </c>
      <c r="H271" s="4" t="n">
        <v>20</v>
      </c>
      <c r="I271" s="4" t="n">
        <v>90.4</v>
      </c>
      <c r="J271" s="6" t="n">
        <v>1.7</v>
      </c>
      <c r="K271" s="4" t="n">
        <v>0</v>
      </c>
      <c r="L271" s="6" t="n">
        <v>3.3</v>
      </c>
      <c r="M271" s="5" t="n">
        <v>679888.74</v>
      </c>
      <c r="N271" s="5" t="n">
        <v>83406.89</v>
      </c>
    </row>
    <row r="272" customFormat="false" ht="15" hidden="false" customHeight="false" outlineLevel="0" collapsed="false">
      <c r="A272" s="7" t="s">
        <v>90</v>
      </c>
      <c r="B272" s="7" t="s">
        <v>17</v>
      </c>
      <c r="C272" s="7" t="s">
        <v>26</v>
      </c>
      <c r="D272" s="7" t="s">
        <v>24</v>
      </c>
      <c r="E272" s="8" t="n">
        <v>40923.67</v>
      </c>
      <c r="F272" s="7" t="n">
        <v>3875</v>
      </c>
      <c r="G272" s="7" t="n">
        <v>0.15</v>
      </c>
      <c r="H272" s="7" t="n">
        <v>10</v>
      </c>
      <c r="I272" s="7" t="n">
        <v>96.1</v>
      </c>
      <c r="J272" s="9" t="n">
        <v>4.39</v>
      </c>
      <c r="K272" s="7" t="n">
        <v>0</v>
      </c>
      <c r="L272" s="9" t="n">
        <v>3.8</v>
      </c>
      <c r="M272" s="8" t="n">
        <v>606783.67</v>
      </c>
      <c r="N272" s="8" t="n">
        <v>74515.87</v>
      </c>
    </row>
    <row r="273" customFormat="false" ht="15" hidden="false" customHeight="false" outlineLevel="0" collapsed="false">
      <c r="A273" s="4" t="s">
        <v>90</v>
      </c>
      <c r="B273" s="4" t="s">
        <v>20</v>
      </c>
      <c r="C273" s="4" t="s">
        <v>26</v>
      </c>
      <c r="D273" s="4" t="s">
        <v>24</v>
      </c>
      <c r="E273" s="5" t="n">
        <v>72932.55</v>
      </c>
      <c r="F273" s="4" t="n">
        <v>5765</v>
      </c>
      <c r="G273" s="4" t="n">
        <v>0.026</v>
      </c>
      <c r="H273" s="4" t="n">
        <v>17</v>
      </c>
      <c r="I273" s="4" t="n">
        <v>81.8</v>
      </c>
      <c r="J273" s="6" t="n">
        <v>5.1</v>
      </c>
      <c r="K273" s="4" t="n">
        <v>0</v>
      </c>
      <c r="L273" s="6" t="n">
        <v>3.6</v>
      </c>
      <c r="M273" s="5" t="n">
        <v>642751.42</v>
      </c>
      <c r="N273" s="5" t="n">
        <v>131942.15</v>
      </c>
    </row>
    <row r="274" customFormat="false" ht="15" hidden="false" customHeight="false" outlineLevel="0" collapsed="false">
      <c r="A274" s="7" t="s">
        <v>90</v>
      </c>
      <c r="B274" s="7" t="s">
        <v>21</v>
      </c>
      <c r="C274" s="7" t="s">
        <v>26</v>
      </c>
      <c r="D274" s="7" t="s">
        <v>24</v>
      </c>
      <c r="E274" s="8" t="n">
        <v>38361.93</v>
      </c>
      <c r="F274" s="7" t="n">
        <v>6322</v>
      </c>
      <c r="G274" s="7" t="n">
        <v>0.273</v>
      </c>
      <c r="H274" s="7" t="n">
        <v>15</v>
      </c>
      <c r="I274" s="7" t="n">
        <v>88.4</v>
      </c>
      <c r="J274" s="9" t="n">
        <v>0.83</v>
      </c>
      <c r="K274" s="7" t="n">
        <v>0</v>
      </c>
      <c r="L274" s="9" t="n">
        <v>4</v>
      </c>
      <c r="M274" s="8" t="n">
        <v>647953.78</v>
      </c>
      <c r="N274" s="8" t="n">
        <v>118497.43</v>
      </c>
    </row>
    <row r="275" customFormat="false" ht="15" hidden="false" customHeight="false" outlineLevel="0" collapsed="false">
      <c r="A275" s="4" t="s">
        <v>90</v>
      </c>
      <c r="B275" s="4" t="s">
        <v>22</v>
      </c>
      <c r="C275" s="4" t="s">
        <v>26</v>
      </c>
      <c r="D275" s="4" t="s">
        <v>24</v>
      </c>
      <c r="E275" s="5" t="n">
        <v>97480.94</v>
      </c>
      <c r="F275" s="4" t="n">
        <v>6840</v>
      </c>
      <c r="G275" s="4" t="n">
        <v>0.087</v>
      </c>
      <c r="H275" s="4" t="n">
        <v>14</v>
      </c>
      <c r="I275" s="4" t="n">
        <v>79.2</v>
      </c>
      <c r="J275" s="6" t="n">
        <v>1.14</v>
      </c>
      <c r="K275" s="4" t="n">
        <v>0</v>
      </c>
      <c r="L275" s="6" t="n">
        <v>4</v>
      </c>
      <c r="M275" s="5" t="n">
        <v>729440.45</v>
      </c>
      <c r="N275" s="5" t="n">
        <v>87614.29</v>
      </c>
    </row>
    <row r="276" customFormat="false" ht="15" hidden="false" customHeight="false" outlineLevel="0" collapsed="false">
      <c r="A276" s="7" t="s">
        <v>91</v>
      </c>
      <c r="B276" s="7" t="s">
        <v>17</v>
      </c>
      <c r="C276" s="7" t="s">
        <v>30</v>
      </c>
      <c r="D276" s="7" t="s">
        <v>27</v>
      </c>
      <c r="E276" s="8" t="n">
        <v>81801.8</v>
      </c>
      <c r="F276" s="7" t="n">
        <v>6782</v>
      </c>
      <c r="G276" s="7" t="n">
        <v>0.05</v>
      </c>
      <c r="H276" s="7" t="n">
        <v>16</v>
      </c>
      <c r="I276" s="7" t="n">
        <v>99</v>
      </c>
      <c r="J276" s="9" t="n">
        <v>9.54</v>
      </c>
      <c r="K276" s="7" t="n">
        <v>0</v>
      </c>
      <c r="L276" s="9" t="n">
        <v>3.7</v>
      </c>
      <c r="M276" s="8" t="n">
        <v>764949</v>
      </c>
      <c r="N276" s="8" t="n">
        <v>148322.43</v>
      </c>
    </row>
    <row r="277" customFormat="false" ht="15" hidden="false" customHeight="false" outlineLevel="0" collapsed="false">
      <c r="A277" s="4" t="s">
        <v>91</v>
      </c>
      <c r="B277" s="4" t="s">
        <v>20</v>
      </c>
      <c r="C277" s="4" t="s">
        <v>30</v>
      </c>
      <c r="D277" s="4" t="s">
        <v>27</v>
      </c>
      <c r="E277" s="5" t="n">
        <v>63582.11</v>
      </c>
      <c r="F277" s="4" t="n">
        <v>6856</v>
      </c>
      <c r="G277" s="4" t="n">
        <v>0.074</v>
      </c>
      <c r="H277" s="4" t="n">
        <v>17</v>
      </c>
      <c r="I277" s="4" t="n">
        <v>89.5</v>
      </c>
      <c r="J277" s="6" t="n">
        <v>5.48</v>
      </c>
      <c r="K277" s="4" t="n">
        <v>0</v>
      </c>
      <c r="L277" s="6" t="n">
        <v>3.2</v>
      </c>
      <c r="M277" s="5" t="n">
        <v>799046.94</v>
      </c>
      <c r="N277" s="5" t="n">
        <v>144553.64</v>
      </c>
    </row>
    <row r="278" customFormat="false" ht="15" hidden="false" customHeight="false" outlineLevel="0" collapsed="false">
      <c r="A278" s="7" t="s">
        <v>91</v>
      </c>
      <c r="B278" s="7" t="s">
        <v>21</v>
      </c>
      <c r="C278" s="7" t="s">
        <v>30</v>
      </c>
      <c r="D278" s="7" t="s">
        <v>27</v>
      </c>
      <c r="E278" s="8" t="n">
        <v>75412.74</v>
      </c>
      <c r="F278" s="7" t="n">
        <v>5641</v>
      </c>
      <c r="G278" s="7" t="n">
        <v>0.059</v>
      </c>
      <c r="H278" s="7" t="n">
        <v>13</v>
      </c>
      <c r="I278" s="7" t="n">
        <v>87.9</v>
      </c>
      <c r="J278" s="9" t="n">
        <v>0.84</v>
      </c>
      <c r="K278" s="7" t="n">
        <v>0</v>
      </c>
      <c r="L278" s="9" t="n">
        <v>3.6</v>
      </c>
      <c r="M278" s="8" t="n">
        <v>720079.54</v>
      </c>
      <c r="N278" s="8" t="n">
        <v>119499.47</v>
      </c>
    </row>
    <row r="279" customFormat="false" ht="15" hidden="false" customHeight="false" outlineLevel="0" collapsed="false">
      <c r="A279" s="4" t="s">
        <v>91</v>
      </c>
      <c r="B279" s="4" t="s">
        <v>22</v>
      </c>
      <c r="C279" s="4" t="s">
        <v>30</v>
      </c>
      <c r="D279" s="4" t="s">
        <v>27</v>
      </c>
      <c r="E279" s="5" t="n">
        <v>36290.08</v>
      </c>
      <c r="F279" s="4" t="n">
        <v>5787</v>
      </c>
      <c r="G279" s="4" t="n">
        <v>0</v>
      </c>
      <c r="H279" s="4" t="n">
        <v>17</v>
      </c>
      <c r="I279" s="4" t="n">
        <v>88.3</v>
      </c>
      <c r="J279" s="6" t="n">
        <v>4.19</v>
      </c>
      <c r="K279" s="4" t="n">
        <v>0</v>
      </c>
      <c r="L279" s="6" t="n">
        <v>4.1</v>
      </c>
      <c r="M279" s="5" t="n">
        <v>612390.14</v>
      </c>
      <c r="N279" s="5" t="n">
        <v>108985.74</v>
      </c>
    </row>
    <row r="280" customFormat="false" ht="15" hidden="false" customHeight="false" outlineLevel="0" collapsed="false">
      <c r="A280" s="7" t="s">
        <v>92</v>
      </c>
      <c r="B280" s="7" t="s">
        <v>17</v>
      </c>
      <c r="C280" s="7" t="s">
        <v>30</v>
      </c>
      <c r="D280" s="7" t="s">
        <v>34</v>
      </c>
      <c r="E280" s="8" t="n">
        <v>65272.58</v>
      </c>
      <c r="F280" s="7" t="n">
        <v>8165</v>
      </c>
      <c r="G280" s="7" t="n">
        <v>0.051</v>
      </c>
      <c r="H280" s="7" t="n">
        <v>19</v>
      </c>
      <c r="I280" s="7" t="n">
        <v>87.8</v>
      </c>
      <c r="J280" s="9" t="n">
        <v>1.26</v>
      </c>
      <c r="K280" s="7" t="n">
        <v>1</v>
      </c>
      <c r="L280" s="9" t="n">
        <v>4.3</v>
      </c>
      <c r="M280" s="8" t="n">
        <v>840108.12</v>
      </c>
      <c r="N280" s="8" t="n">
        <v>126587.01</v>
      </c>
    </row>
    <row r="281" customFormat="false" ht="15" hidden="false" customHeight="false" outlineLevel="0" collapsed="false">
      <c r="A281" s="4" t="s">
        <v>92</v>
      </c>
      <c r="B281" s="4" t="s">
        <v>20</v>
      </c>
      <c r="C281" s="4" t="s">
        <v>30</v>
      </c>
      <c r="D281" s="4" t="s">
        <v>34</v>
      </c>
      <c r="E281" s="5" t="n">
        <v>28670.43</v>
      </c>
      <c r="F281" s="4" t="n">
        <v>7574</v>
      </c>
      <c r="G281" s="4" t="n">
        <v>0.114</v>
      </c>
      <c r="H281" s="4" t="n">
        <v>19</v>
      </c>
      <c r="I281" s="4" t="n">
        <v>82.7</v>
      </c>
      <c r="J281" s="6" t="n">
        <v>2.74</v>
      </c>
      <c r="K281" s="4" t="n">
        <v>0</v>
      </c>
      <c r="L281" s="6" t="n">
        <v>4.6</v>
      </c>
      <c r="M281" s="5" t="n">
        <v>697888.09</v>
      </c>
      <c r="N281" s="5" t="n">
        <v>116249.87</v>
      </c>
    </row>
    <row r="282" customFormat="false" ht="15" hidden="false" customHeight="false" outlineLevel="0" collapsed="false">
      <c r="A282" s="7" t="s">
        <v>92</v>
      </c>
      <c r="B282" s="7" t="s">
        <v>21</v>
      </c>
      <c r="C282" s="7" t="s">
        <v>30</v>
      </c>
      <c r="D282" s="7" t="s">
        <v>34</v>
      </c>
      <c r="E282" s="8" t="n">
        <v>44189.34</v>
      </c>
      <c r="F282" s="7" t="n">
        <v>8634</v>
      </c>
      <c r="G282" s="7" t="n">
        <v>0.143</v>
      </c>
      <c r="H282" s="7" t="n">
        <v>19</v>
      </c>
      <c r="I282" s="7" t="n">
        <v>87.5</v>
      </c>
      <c r="J282" s="9" t="n">
        <v>3.69</v>
      </c>
      <c r="K282" s="7" t="n">
        <v>0</v>
      </c>
      <c r="L282" s="9" t="n">
        <v>4.4</v>
      </c>
      <c r="M282" s="8" t="n">
        <v>746115.59</v>
      </c>
      <c r="N282" s="8" t="n">
        <v>94662.96</v>
      </c>
    </row>
    <row r="283" customFormat="false" ht="15" hidden="false" customHeight="false" outlineLevel="0" collapsed="false">
      <c r="A283" s="4" t="s">
        <v>92</v>
      </c>
      <c r="B283" s="4" t="s">
        <v>22</v>
      </c>
      <c r="C283" s="4" t="s">
        <v>30</v>
      </c>
      <c r="D283" s="4" t="s">
        <v>34</v>
      </c>
      <c r="E283" s="5" t="n">
        <v>38397.82</v>
      </c>
      <c r="F283" s="4" t="n">
        <v>7836</v>
      </c>
      <c r="G283" s="4" t="n">
        <v>0.007</v>
      </c>
      <c r="H283" s="4" t="n">
        <v>21</v>
      </c>
      <c r="I283" s="4" t="n">
        <v>92.2</v>
      </c>
      <c r="J283" s="6" t="n">
        <v>1.82</v>
      </c>
      <c r="K283" s="4" t="n">
        <v>0</v>
      </c>
      <c r="L283" s="6" t="n">
        <v>3.6</v>
      </c>
      <c r="M283" s="5" t="n">
        <v>776110.32</v>
      </c>
      <c r="N283" s="5" t="n">
        <v>139676.21</v>
      </c>
    </row>
    <row r="284" customFormat="false" ht="15" hidden="false" customHeight="false" outlineLevel="0" collapsed="false">
      <c r="A284" s="7" t="s">
        <v>93</v>
      </c>
      <c r="B284" s="7" t="s">
        <v>17</v>
      </c>
      <c r="C284" s="7" t="s">
        <v>33</v>
      </c>
      <c r="D284" s="7" t="s">
        <v>24</v>
      </c>
      <c r="E284" s="8" t="n">
        <v>14519.37</v>
      </c>
      <c r="F284" s="7" t="n">
        <v>3047</v>
      </c>
      <c r="G284" s="7" t="n">
        <v>0.135</v>
      </c>
      <c r="H284" s="7" t="n">
        <v>10</v>
      </c>
      <c r="I284" s="7" t="n">
        <v>90.3</v>
      </c>
      <c r="J284" s="9" t="n">
        <v>6.62</v>
      </c>
      <c r="K284" s="7" t="n">
        <v>0</v>
      </c>
      <c r="L284" s="9" t="n">
        <v>4.2</v>
      </c>
      <c r="M284" s="8" t="n">
        <v>528852.62</v>
      </c>
      <c r="N284" s="8" t="n">
        <v>68426.21</v>
      </c>
    </row>
    <row r="285" customFormat="false" ht="15" hidden="false" customHeight="false" outlineLevel="0" collapsed="false">
      <c r="A285" s="4" t="s">
        <v>93</v>
      </c>
      <c r="B285" s="4" t="s">
        <v>20</v>
      </c>
      <c r="C285" s="4" t="s">
        <v>33</v>
      </c>
      <c r="D285" s="4" t="s">
        <v>24</v>
      </c>
      <c r="E285" s="5" t="n">
        <v>43288.2</v>
      </c>
      <c r="F285" s="4" t="n">
        <v>4783</v>
      </c>
      <c r="G285" s="4" t="n">
        <v>0.169</v>
      </c>
      <c r="H285" s="4" t="n">
        <v>13</v>
      </c>
      <c r="I285" s="4" t="n">
        <v>87.3</v>
      </c>
      <c r="J285" s="6" t="n">
        <v>3.64</v>
      </c>
      <c r="K285" s="4" t="n">
        <v>0</v>
      </c>
      <c r="L285" s="6" t="n">
        <v>4.2</v>
      </c>
      <c r="M285" s="5" t="n">
        <v>605751.33</v>
      </c>
      <c r="N285" s="5" t="n">
        <v>60685.53</v>
      </c>
    </row>
    <row r="286" customFormat="false" ht="15" hidden="false" customHeight="false" outlineLevel="0" collapsed="false">
      <c r="A286" s="7" t="s">
        <v>93</v>
      </c>
      <c r="B286" s="7" t="s">
        <v>21</v>
      </c>
      <c r="C286" s="7" t="s">
        <v>33</v>
      </c>
      <c r="D286" s="7" t="s">
        <v>24</v>
      </c>
      <c r="E286" s="8" t="n">
        <v>51450.55</v>
      </c>
      <c r="F286" s="7" t="n">
        <v>4902</v>
      </c>
      <c r="G286" s="7" t="n">
        <v>0.086</v>
      </c>
      <c r="H286" s="7" t="n">
        <v>11</v>
      </c>
      <c r="I286" s="7" t="n">
        <v>83.7</v>
      </c>
      <c r="J286" s="9" t="n">
        <v>6.92</v>
      </c>
      <c r="K286" s="7" t="n">
        <v>1</v>
      </c>
      <c r="L286" s="9" t="n">
        <v>4.2</v>
      </c>
      <c r="M286" s="8" t="n">
        <v>677640.65</v>
      </c>
      <c r="N286" s="8" t="n">
        <v>111610.89</v>
      </c>
    </row>
    <row r="287" customFormat="false" ht="15" hidden="false" customHeight="false" outlineLevel="0" collapsed="false">
      <c r="A287" s="4" t="s">
        <v>93</v>
      </c>
      <c r="B287" s="4" t="s">
        <v>22</v>
      </c>
      <c r="C287" s="4" t="s">
        <v>33</v>
      </c>
      <c r="D287" s="4" t="s">
        <v>24</v>
      </c>
      <c r="E287" s="5" t="n">
        <v>58688.26</v>
      </c>
      <c r="F287" s="4" t="n">
        <v>4022</v>
      </c>
      <c r="G287" s="4" t="n">
        <v>0.217</v>
      </c>
      <c r="H287" s="4" t="n">
        <v>12</v>
      </c>
      <c r="I287" s="4" t="n">
        <v>93.8</v>
      </c>
      <c r="J287" s="6" t="n">
        <v>11.78</v>
      </c>
      <c r="K287" s="4" t="n">
        <v>0</v>
      </c>
      <c r="L287" s="6" t="n">
        <v>3.7</v>
      </c>
      <c r="M287" s="5" t="n">
        <v>636613.23</v>
      </c>
      <c r="N287" s="5" t="n">
        <v>78908.35</v>
      </c>
    </row>
    <row r="288" customFormat="false" ht="15" hidden="false" customHeight="false" outlineLevel="0" collapsed="false">
      <c r="A288" s="7" t="s">
        <v>94</v>
      </c>
      <c r="B288" s="7" t="s">
        <v>17</v>
      </c>
      <c r="C288" s="7" t="s">
        <v>18</v>
      </c>
      <c r="D288" s="7" t="s">
        <v>24</v>
      </c>
      <c r="E288" s="8" t="n">
        <v>58981.91</v>
      </c>
      <c r="F288" s="7" t="n">
        <v>7324</v>
      </c>
      <c r="G288" s="7" t="n">
        <v>0.094</v>
      </c>
      <c r="H288" s="7" t="n">
        <v>15</v>
      </c>
      <c r="I288" s="7" t="n">
        <v>95.8</v>
      </c>
      <c r="J288" s="9" t="n">
        <v>0.5</v>
      </c>
      <c r="K288" s="7" t="n">
        <v>0</v>
      </c>
      <c r="L288" s="9" t="n">
        <v>3.5</v>
      </c>
      <c r="M288" s="8" t="n">
        <v>708985.19</v>
      </c>
      <c r="N288" s="8" t="n">
        <v>125368.16</v>
      </c>
    </row>
    <row r="289" customFormat="false" ht="15" hidden="false" customHeight="false" outlineLevel="0" collapsed="false">
      <c r="A289" s="4" t="s">
        <v>94</v>
      </c>
      <c r="B289" s="4" t="s">
        <v>20</v>
      </c>
      <c r="C289" s="4" t="s">
        <v>18</v>
      </c>
      <c r="D289" s="4" t="s">
        <v>24</v>
      </c>
      <c r="E289" s="5" t="n">
        <v>73454.54</v>
      </c>
      <c r="F289" s="4" t="n">
        <v>8129</v>
      </c>
      <c r="G289" s="4" t="n">
        <v>0.211</v>
      </c>
      <c r="H289" s="4" t="n">
        <v>20</v>
      </c>
      <c r="I289" s="4" t="n">
        <v>85.2</v>
      </c>
      <c r="J289" s="6" t="n">
        <v>0.88</v>
      </c>
      <c r="K289" s="4" t="n">
        <v>0</v>
      </c>
      <c r="L289" s="6" t="n">
        <v>3.7</v>
      </c>
      <c r="M289" s="5" t="n">
        <v>767792.94</v>
      </c>
      <c r="N289" s="5" t="n">
        <v>96235.77</v>
      </c>
    </row>
    <row r="290" customFormat="false" ht="15" hidden="false" customHeight="false" outlineLevel="0" collapsed="false">
      <c r="A290" s="7" t="s">
        <v>94</v>
      </c>
      <c r="B290" s="7" t="s">
        <v>21</v>
      </c>
      <c r="C290" s="7" t="s">
        <v>18</v>
      </c>
      <c r="D290" s="7" t="s">
        <v>24</v>
      </c>
      <c r="E290" s="8" t="n">
        <v>56602.39</v>
      </c>
      <c r="F290" s="7" t="n">
        <v>7969</v>
      </c>
      <c r="G290" s="7" t="n">
        <v>0.17</v>
      </c>
      <c r="H290" s="7" t="n">
        <v>21</v>
      </c>
      <c r="I290" s="7" t="n">
        <v>88.3</v>
      </c>
      <c r="J290" s="9" t="n">
        <v>2.25</v>
      </c>
      <c r="K290" s="7" t="n">
        <v>0</v>
      </c>
      <c r="L290" s="9" t="n">
        <v>3.7</v>
      </c>
      <c r="M290" s="8" t="n">
        <v>745580.51</v>
      </c>
      <c r="N290" s="8" t="n">
        <v>116273.68</v>
      </c>
    </row>
    <row r="291" customFormat="false" ht="15" hidden="false" customHeight="false" outlineLevel="0" collapsed="false">
      <c r="A291" s="4" t="s">
        <v>94</v>
      </c>
      <c r="B291" s="4" t="s">
        <v>22</v>
      </c>
      <c r="C291" s="4" t="s">
        <v>18</v>
      </c>
      <c r="D291" s="4" t="s">
        <v>24</v>
      </c>
      <c r="E291" s="5" t="n">
        <v>67722.29</v>
      </c>
      <c r="F291" s="4" t="n">
        <v>7240</v>
      </c>
      <c r="G291" s="4" t="n">
        <v>0.026</v>
      </c>
      <c r="H291" s="4" t="n">
        <v>15</v>
      </c>
      <c r="I291" s="4" t="n">
        <v>92.9</v>
      </c>
      <c r="J291" s="6" t="n">
        <v>0.29</v>
      </c>
      <c r="K291" s="4" t="n">
        <v>0</v>
      </c>
      <c r="L291" s="6" t="n">
        <v>3.5</v>
      </c>
      <c r="M291" s="5" t="n">
        <v>762328.31</v>
      </c>
      <c r="N291" s="5" t="n">
        <v>159158.19</v>
      </c>
    </row>
    <row r="292" customFormat="false" ht="15" hidden="false" customHeight="false" outlineLevel="0" collapsed="false">
      <c r="A292" s="7" t="s">
        <v>95</v>
      </c>
      <c r="B292" s="7" t="s">
        <v>17</v>
      </c>
      <c r="C292" s="7" t="s">
        <v>18</v>
      </c>
      <c r="D292" s="7" t="s">
        <v>34</v>
      </c>
      <c r="E292" s="8" t="n">
        <v>48752.92</v>
      </c>
      <c r="F292" s="7" t="n">
        <v>8052</v>
      </c>
      <c r="G292" s="7" t="n">
        <v>0.106</v>
      </c>
      <c r="H292" s="7" t="n">
        <v>16</v>
      </c>
      <c r="I292" s="7" t="n">
        <v>94.9</v>
      </c>
      <c r="J292" s="9" t="n">
        <v>0.65</v>
      </c>
      <c r="K292" s="7" t="n">
        <v>0</v>
      </c>
      <c r="L292" s="9" t="n">
        <v>3.6</v>
      </c>
      <c r="M292" s="8" t="n">
        <v>660633.99</v>
      </c>
      <c r="N292" s="8" t="n">
        <v>118768.66</v>
      </c>
    </row>
    <row r="293" customFormat="false" ht="15" hidden="false" customHeight="false" outlineLevel="0" collapsed="false">
      <c r="A293" s="4" t="s">
        <v>95</v>
      </c>
      <c r="B293" s="4" t="s">
        <v>20</v>
      </c>
      <c r="C293" s="4" t="s">
        <v>18</v>
      </c>
      <c r="D293" s="4" t="s">
        <v>34</v>
      </c>
      <c r="E293" s="5" t="n">
        <v>23914.97</v>
      </c>
      <c r="F293" s="4" t="n">
        <v>8018</v>
      </c>
      <c r="G293" s="4" t="n">
        <v>0.139</v>
      </c>
      <c r="H293" s="4" t="n">
        <v>20</v>
      </c>
      <c r="I293" s="4" t="n">
        <v>89</v>
      </c>
      <c r="J293" s="6" t="n">
        <v>0.2</v>
      </c>
      <c r="K293" s="4" t="n">
        <v>0</v>
      </c>
      <c r="L293" s="6" t="n">
        <v>3.5</v>
      </c>
      <c r="M293" s="5" t="n">
        <v>739374.56</v>
      </c>
      <c r="N293" s="5" t="n">
        <v>121032.29</v>
      </c>
    </row>
    <row r="294" customFormat="false" ht="15" hidden="false" customHeight="false" outlineLevel="0" collapsed="false">
      <c r="A294" s="7" t="s">
        <v>95</v>
      </c>
      <c r="B294" s="7" t="s">
        <v>21</v>
      </c>
      <c r="C294" s="7" t="s">
        <v>18</v>
      </c>
      <c r="D294" s="7" t="s">
        <v>34</v>
      </c>
      <c r="E294" s="8" t="n">
        <v>61995.3</v>
      </c>
      <c r="F294" s="7" t="n">
        <v>10192</v>
      </c>
      <c r="G294" s="7" t="n">
        <v>0.198</v>
      </c>
      <c r="H294" s="7" t="n">
        <v>21</v>
      </c>
      <c r="I294" s="7" t="n">
        <v>87.6</v>
      </c>
      <c r="J294" s="9" t="n">
        <v>3.63</v>
      </c>
      <c r="K294" s="7" t="n">
        <v>1</v>
      </c>
      <c r="L294" s="9" t="n">
        <v>3.8</v>
      </c>
      <c r="M294" s="8" t="n">
        <v>799756.46</v>
      </c>
      <c r="N294" s="8" t="n">
        <v>105052.93</v>
      </c>
    </row>
    <row r="295" customFormat="false" ht="15" hidden="false" customHeight="false" outlineLevel="0" collapsed="false">
      <c r="A295" s="4" t="s">
        <v>95</v>
      </c>
      <c r="B295" s="4" t="s">
        <v>22</v>
      </c>
      <c r="C295" s="4" t="s">
        <v>18</v>
      </c>
      <c r="D295" s="4" t="s">
        <v>34</v>
      </c>
      <c r="E295" s="5" t="n">
        <v>29344.93</v>
      </c>
      <c r="F295" s="4" t="n">
        <v>7446</v>
      </c>
      <c r="G295" s="4" t="n">
        <v>0.111</v>
      </c>
      <c r="H295" s="4" t="n">
        <v>15</v>
      </c>
      <c r="I295" s="4" t="n">
        <v>86.2</v>
      </c>
      <c r="J295" s="6" t="n">
        <v>0.2</v>
      </c>
      <c r="K295" s="4" t="n">
        <v>0</v>
      </c>
      <c r="L295" s="6" t="n">
        <v>3.2</v>
      </c>
      <c r="M295" s="5" t="n">
        <v>593343</v>
      </c>
      <c r="N295" s="5" t="n">
        <v>82832.24</v>
      </c>
    </row>
    <row r="296" customFormat="false" ht="15" hidden="false" customHeight="false" outlineLevel="0" collapsed="false">
      <c r="A296" s="7" t="s">
        <v>96</v>
      </c>
      <c r="B296" s="7" t="s">
        <v>17</v>
      </c>
      <c r="C296" s="7" t="s">
        <v>33</v>
      </c>
      <c r="D296" s="7" t="s">
        <v>24</v>
      </c>
      <c r="E296" s="8" t="n">
        <v>50532.17</v>
      </c>
      <c r="F296" s="7" t="n">
        <v>5689</v>
      </c>
      <c r="G296" s="7" t="n">
        <v>0.052</v>
      </c>
      <c r="H296" s="7" t="n">
        <v>17</v>
      </c>
      <c r="I296" s="7" t="n">
        <v>85.6</v>
      </c>
      <c r="J296" s="9" t="n">
        <v>6.23</v>
      </c>
      <c r="K296" s="7" t="n">
        <v>0</v>
      </c>
      <c r="L296" s="9" t="n">
        <v>3.3</v>
      </c>
      <c r="M296" s="8" t="n">
        <v>645039.97</v>
      </c>
      <c r="N296" s="8" t="n">
        <v>83093.33</v>
      </c>
    </row>
    <row r="297" customFormat="false" ht="15" hidden="false" customHeight="false" outlineLevel="0" collapsed="false">
      <c r="A297" s="4" t="s">
        <v>96</v>
      </c>
      <c r="B297" s="4" t="s">
        <v>20</v>
      </c>
      <c r="C297" s="4" t="s">
        <v>33</v>
      </c>
      <c r="D297" s="4" t="s">
        <v>24</v>
      </c>
      <c r="E297" s="5" t="n">
        <v>17562.57</v>
      </c>
      <c r="F297" s="4" t="n">
        <v>3326</v>
      </c>
      <c r="G297" s="4" t="n">
        <v>0.153</v>
      </c>
      <c r="H297" s="4" t="n">
        <v>14</v>
      </c>
      <c r="I297" s="4" t="n">
        <v>88.1</v>
      </c>
      <c r="J297" s="6" t="n">
        <v>1.04</v>
      </c>
      <c r="K297" s="4" t="n">
        <v>0</v>
      </c>
      <c r="L297" s="6" t="n">
        <v>3.1</v>
      </c>
      <c r="M297" s="5" t="n">
        <v>561597.33</v>
      </c>
      <c r="N297" s="5" t="n">
        <v>75072.75</v>
      </c>
    </row>
    <row r="298" customFormat="false" ht="15" hidden="false" customHeight="false" outlineLevel="0" collapsed="false">
      <c r="A298" s="7" t="s">
        <v>96</v>
      </c>
      <c r="B298" s="7" t="s">
        <v>21</v>
      </c>
      <c r="C298" s="7" t="s">
        <v>33</v>
      </c>
      <c r="D298" s="7" t="s">
        <v>24</v>
      </c>
      <c r="E298" s="8" t="n">
        <v>47648.71</v>
      </c>
      <c r="F298" s="7" t="n">
        <v>5767</v>
      </c>
      <c r="G298" s="7" t="n">
        <v>0.141</v>
      </c>
      <c r="H298" s="7" t="n">
        <v>17</v>
      </c>
      <c r="I298" s="7" t="n">
        <v>89.8</v>
      </c>
      <c r="J298" s="9" t="n">
        <v>1.76</v>
      </c>
      <c r="K298" s="7" t="n">
        <v>0</v>
      </c>
      <c r="L298" s="9" t="n">
        <v>3.1</v>
      </c>
      <c r="M298" s="8" t="n">
        <v>635837.74</v>
      </c>
      <c r="N298" s="8" t="n">
        <v>114740.64</v>
      </c>
    </row>
    <row r="299" customFormat="false" ht="15" hidden="false" customHeight="false" outlineLevel="0" collapsed="false">
      <c r="A299" s="4" t="s">
        <v>96</v>
      </c>
      <c r="B299" s="4" t="s">
        <v>22</v>
      </c>
      <c r="C299" s="4" t="s">
        <v>33</v>
      </c>
      <c r="D299" s="4" t="s">
        <v>24</v>
      </c>
      <c r="E299" s="5" t="n">
        <v>38297.58</v>
      </c>
      <c r="F299" s="4" t="n">
        <v>5893</v>
      </c>
      <c r="G299" s="4" t="n">
        <v>0.247</v>
      </c>
      <c r="H299" s="4" t="n">
        <v>18</v>
      </c>
      <c r="I299" s="4" t="n">
        <v>77.6</v>
      </c>
      <c r="J299" s="6" t="n">
        <v>2.86</v>
      </c>
      <c r="K299" s="4" t="n">
        <v>0</v>
      </c>
      <c r="L299" s="6" t="n">
        <v>3</v>
      </c>
      <c r="M299" s="5" t="n">
        <v>686737.87</v>
      </c>
      <c r="N299" s="5" t="n">
        <v>83839.67</v>
      </c>
    </row>
    <row r="300" customFormat="false" ht="15" hidden="false" customHeight="false" outlineLevel="0" collapsed="false">
      <c r="A300" s="7" t="s">
        <v>97</v>
      </c>
      <c r="B300" s="7" t="s">
        <v>17</v>
      </c>
      <c r="C300" s="7" t="s">
        <v>30</v>
      </c>
      <c r="D300" s="7" t="s">
        <v>19</v>
      </c>
      <c r="E300" s="8" t="n">
        <v>61784.11</v>
      </c>
      <c r="F300" s="7" t="n">
        <v>8564</v>
      </c>
      <c r="G300" s="7" t="n">
        <v>0.13</v>
      </c>
      <c r="H300" s="7" t="n">
        <v>17</v>
      </c>
      <c r="I300" s="7" t="n">
        <v>87.4</v>
      </c>
      <c r="J300" s="9" t="n">
        <v>18.14</v>
      </c>
      <c r="K300" s="7" t="n">
        <v>1</v>
      </c>
      <c r="L300" s="9" t="n">
        <v>3.4</v>
      </c>
      <c r="M300" s="8" t="n">
        <v>673076.34</v>
      </c>
      <c r="N300" s="8" t="n">
        <v>93899.76</v>
      </c>
    </row>
    <row r="301" customFormat="false" ht="15" hidden="false" customHeight="false" outlineLevel="0" collapsed="false">
      <c r="A301" s="4" t="s">
        <v>97</v>
      </c>
      <c r="B301" s="4" t="s">
        <v>20</v>
      </c>
      <c r="C301" s="4" t="s">
        <v>30</v>
      </c>
      <c r="D301" s="4" t="s">
        <v>19</v>
      </c>
      <c r="E301" s="5" t="n">
        <v>36832.33</v>
      </c>
      <c r="F301" s="4" t="n">
        <v>8001</v>
      </c>
      <c r="G301" s="4" t="n">
        <v>0</v>
      </c>
      <c r="H301" s="4" t="n">
        <v>19</v>
      </c>
      <c r="I301" s="4" t="n">
        <v>88.7</v>
      </c>
      <c r="J301" s="6" t="n">
        <v>3.39</v>
      </c>
      <c r="K301" s="4" t="n">
        <v>0</v>
      </c>
      <c r="L301" s="6" t="n">
        <v>4</v>
      </c>
      <c r="M301" s="5" t="n">
        <v>738548.42</v>
      </c>
      <c r="N301" s="5" t="n">
        <v>134282.77</v>
      </c>
    </row>
    <row r="302" customFormat="false" ht="15" hidden="false" customHeight="false" outlineLevel="0" collapsed="false">
      <c r="A302" s="7" t="s">
        <v>97</v>
      </c>
      <c r="B302" s="7" t="s">
        <v>21</v>
      </c>
      <c r="C302" s="7" t="s">
        <v>30</v>
      </c>
      <c r="D302" s="7" t="s">
        <v>19</v>
      </c>
      <c r="E302" s="8" t="n">
        <v>48609.41</v>
      </c>
      <c r="F302" s="7" t="n">
        <v>9324</v>
      </c>
      <c r="G302" s="7" t="n">
        <v>0.213</v>
      </c>
      <c r="H302" s="7" t="n">
        <v>18</v>
      </c>
      <c r="I302" s="7" t="n">
        <v>86.5</v>
      </c>
      <c r="J302" s="9" t="n">
        <v>1.44</v>
      </c>
      <c r="K302" s="7" t="n">
        <v>0</v>
      </c>
      <c r="L302" s="9" t="n">
        <v>3.9</v>
      </c>
      <c r="M302" s="8" t="n">
        <v>756619.77</v>
      </c>
      <c r="N302" s="8" t="n">
        <v>112057.69</v>
      </c>
    </row>
    <row r="303" customFormat="false" ht="15" hidden="false" customHeight="false" outlineLevel="0" collapsed="false">
      <c r="A303" s="4" t="s">
        <v>97</v>
      </c>
      <c r="B303" s="4" t="s">
        <v>22</v>
      </c>
      <c r="C303" s="4" t="s">
        <v>30</v>
      </c>
      <c r="D303" s="4" t="s">
        <v>19</v>
      </c>
      <c r="E303" s="5" t="n">
        <v>70284.06</v>
      </c>
      <c r="F303" s="4" t="n">
        <v>9109</v>
      </c>
      <c r="G303" s="4" t="n">
        <v>0.004</v>
      </c>
      <c r="H303" s="4" t="n">
        <v>23</v>
      </c>
      <c r="I303" s="4" t="n">
        <v>87</v>
      </c>
      <c r="J303" s="6" t="n">
        <v>3.65</v>
      </c>
      <c r="K303" s="4" t="n">
        <v>0</v>
      </c>
      <c r="L303" s="6" t="n">
        <v>3.7</v>
      </c>
      <c r="M303" s="5" t="n">
        <v>761122.42</v>
      </c>
      <c r="N303" s="5" t="n">
        <v>149802.04</v>
      </c>
    </row>
    <row r="304" customFormat="false" ht="15" hidden="false" customHeight="false" outlineLevel="0" collapsed="false">
      <c r="A304" s="7" t="s">
        <v>98</v>
      </c>
      <c r="B304" s="7" t="s">
        <v>17</v>
      </c>
      <c r="C304" s="7" t="s">
        <v>30</v>
      </c>
      <c r="D304" s="7" t="s">
        <v>24</v>
      </c>
      <c r="E304" s="8" t="n">
        <v>45940.39</v>
      </c>
      <c r="F304" s="7" t="n">
        <v>4022</v>
      </c>
      <c r="G304" s="7" t="n">
        <v>0.069</v>
      </c>
      <c r="H304" s="7" t="n">
        <v>10</v>
      </c>
      <c r="I304" s="7" t="n">
        <v>83</v>
      </c>
      <c r="J304" s="9" t="n">
        <v>1.23</v>
      </c>
      <c r="K304" s="7" t="n">
        <v>1</v>
      </c>
      <c r="L304" s="9" t="n">
        <v>3.8</v>
      </c>
      <c r="M304" s="8" t="n">
        <v>524899.57</v>
      </c>
      <c r="N304" s="8" t="n">
        <v>63619.98</v>
      </c>
    </row>
    <row r="305" customFormat="false" ht="15" hidden="false" customHeight="false" outlineLevel="0" collapsed="false">
      <c r="A305" s="4" t="s">
        <v>98</v>
      </c>
      <c r="B305" s="4" t="s">
        <v>20</v>
      </c>
      <c r="C305" s="4" t="s">
        <v>30</v>
      </c>
      <c r="D305" s="4" t="s">
        <v>24</v>
      </c>
      <c r="E305" s="5" t="n">
        <v>34771.26</v>
      </c>
      <c r="F305" s="4" t="n">
        <v>4355</v>
      </c>
      <c r="G305" s="4" t="n">
        <v>0.051</v>
      </c>
      <c r="H305" s="4" t="n">
        <v>15</v>
      </c>
      <c r="I305" s="4" t="n">
        <v>87.9</v>
      </c>
      <c r="J305" s="6" t="n">
        <v>3.09</v>
      </c>
      <c r="K305" s="4" t="n">
        <v>0</v>
      </c>
      <c r="L305" s="6" t="n">
        <v>4</v>
      </c>
      <c r="M305" s="5" t="n">
        <v>555557.77</v>
      </c>
      <c r="N305" s="5" t="n">
        <v>86475.51</v>
      </c>
    </row>
    <row r="306" customFormat="false" ht="15" hidden="false" customHeight="false" outlineLevel="0" collapsed="false">
      <c r="A306" s="7" t="s">
        <v>98</v>
      </c>
      <c r="B306" s="7" t="s">
        <v>21</v>
      </c>
      <c r="C306" s="7" t="s">
        <v>30</v>
      </c>
      <c r="D306" s="7" t="s">
        <v>24</v>
      </c>
      <c r="E306" s="8" t="n">
        <v>66104.19</v>
      </c>
      <c r="F306" s="7" t="n">
        <v>5745</v>
      </c>
      <c r="G306" s="7" t="n">
        <v>0.07</v>
      </c>
      <c r="H306" s="7" t="n">
        <v>17</v>
      </c>
      <c r="I306" s="7" t="n">
        <v>95.8</v>
      </c>
      <c r="J306" s="9" t="n">
        <v>3.15</v>
      </c>
      <c r="K306" s="7" t="n">
        <v>0</v>
      </c>
      <c r="L306" s="9" t="n">
        <v>4</v>
      </c>
      <c r="M306" s="8" t="n">
        <v>714083.68</v>
      </c>
      <c r="N306" s="8" t="n">
        <v>127231.74</v>
      </c>
    </row>
    <row r="307" customFormat="false" ht="15" hidden="false" customHeight="false" outlineLevel="0" collapsed="false">
      <c r="A307" s="4" t="s">
        <v>98</v>
      </c>
      <c r="B307" s="4" t="s">
        <v>22</v>
      </c>
      <c r="C307" s="4" t="s">
        <v>30</v>
      </c>
      <c r="D307" s="4" t="s">
        <v>24</v>
      </c>
      <c r="E307" s="5" t="n">
        <v>18599.21</v>
      </c>
      <c r="F307" s="4" t="n">
        <v>3027</v>
      </c>
      <c r="G307" s="4" t="n">
        <v>0.122</v>
      </c>
      <c r="H307" s="4" t="n">
        <v>11</v>
      </c>
      <c r="I307" s="4" t="n">
        <v>80.9</v>
      </c>
      <c r="J307" s="6" t="n">
        <v>6.44</v>
      </c>
      <c r="K307" s="4" t="n">
        <v>0</v>
      </c>
      <c r="L307" s="6" t="n">
        <v>4.2</v>
      </c>
      <c r="M307" s="5" t="n">
        <v>497439.82</v>
      </c>
      <c r="N307" s="5" t="n">
        <v>93372.75</v>
      </c>
    </row>
    <row r="308" customFormat="false" ht="15" hidden="false" customHeight="false" outlineLevel="0" collapsed="false">
      <c r="A308" s="7" t="s">
        <v>99</v>
      </c>
      <c r="B308" s="7" t="s">
        <v>17</v>
      </c>
      <c r="C308" s="7" t="s">
        <v>33</v>
      </c>
      <c r="D308" s="7" t="s">
        <v>19</v>
      </c>
      <c r="E308" s="8" t="n">
        <v>60183.06</v>
      </c>
      <c r="F308" s="7" t="n">
        <v>5562</v>
      </c>
      <c r="G308" s="7" t="n">
        <v>0.009</v>
      </c>
      <c r="H308" s="7" t="n">
        <v>13</v>
      </c>
      <c r="I308" s="7" t="n">
        <v>86.3</v>
      </c>
      <c r="J308" s="9" t="n">
        <v>0.2</v>
      </c>
      <c r="K308" s="7" t="n">
        <v>1</v>
      </c>
      <c r="L308" s="9" t="n">
        <v>4.5</v>
      </c>
      <c r="M308" s="8" t="n">
        <v>636775.66</v>
      </c>
      <c r="N308" s="8" t="n">
        <v>122636.86</v>
      </c>
    </row>
    <row r="309" customFormat="false" ht="15" hidden="false" customHeight="false" outlineLevel="0" collapsed="false">
      <c r="A309" s="4" t="s">
        <v>99</v>
      </c>
      <c r="B309" s="4" t="s">
        <v>20</v>
      </c>
      <c r="C309" s="4" t="s">
        <v>33</v>
      </c>
      <c r="D309" s="4" t="s">
        <v>19</v>
      </c>
      <c r="E309" s="5" t="n">
        <v>74539.14</v>
      </c>
      <c r="F309" s="4" t="n">
        <v>4487</v>
      </c>
      <c r="G309" s="4" t="n">
        <v>0.14</v>
      </c>
      <c r="H309" s="4" t="n">
        <v>10</v>
      </c>
      <c r="I309" s="4" t="n">
        <v>90.4</v>
      </c>
      <c r="J309" s="6" t="n">
        <v>0.59</v>
      </c>
      <c r="K309" s="4" t="n">
        <v>0</v>
      </c>
      <c r="L309" s="6" t="n">
        <v>4.5</v>
      </c>
      <c r="M309" s="5" t="n">
        <v>633009.53</v>
      </c>
      <c r="N309" s="5" t="n">
        <v>123782.67</v>
      </c>
    </row>
    <row r="310" customFormat="false" ht="15" hidden="false" customHeight="false" outlineLevel="0" collapsed="false">
      <c r="A310" s="7" t="s">
        <v>99</v>
      </c>
      <c r="B310" s="7" t="s">
        <v>21</v>
      </c>
      <c r="C310" s="7" t="s">
        <v>33</v>
      </c>
      <c r="D310" s="7" t="s">
        <v>19</v>
      </c>
      <c r="E310" s="8" t="n">
        <v>55371.97</v>
      </c>
      <c r="F310" s="7" t="n">
        <v>4162</v>
      </c>
      <c r="G310" s="7" t="n">
        <v>0.183</v>
      </c>
      <c r="H310" s="7" t="n">
        <v>11</v>
      </c>
      <c r="I310" s="7" t="n">
        <v>92</v>
      </c>
      <c r="J310" s="9" t="n">
        <v>0.2</v>
      </c>
      <c r="K310" s="7" t="n">
        <v>1</v>
      </c>
      <c r="L310" s="9" t="n">
        <v>4.2</v>
      </c>
      <c r="M310" s="8" t="n">
        <v>609949</v>
      </c>
      <c r="N310" s="8" t="n">
        <v>126789.25</v>
      </c>
    </row>
    <row r="311" customFormat="false" ht="15" hidden="false" customHeight="false" outlineLevel="0" collapsed="false">
      <c r="A311" s="4" t="s">
        <v>99</v>
      </c>
      <c r="B311" s="4" t="s">
        <v>22</v>
      </c>
      <c r="C311" s="4" t="s">
        <v>33</v>
      </c>
      <c r="D311" s="4" t="s">
        <v>19</v>
      </c>
      <c r="E311" s="5" t="n">
        <v>40928.69</v>
      </c>
      <c r="F311" s="4" t="n">
        <v>4094</v>
      </c>
      <c r="G311" s="4" t="n">
        <v>0.174</v>
      </c>
      <c r="H311" s="4" t="n">
        <v>13</v>
      </c>
      <c r="I311" s="4" t="n">
        <v>82.4</v>
      </c>
      <c r="J311" s="6" t="n">
        <v>1.36</v>
      </c>
      <c r="K311" s="4" t="n">
        <v>0</v>
      </c>
      <c r="L311" s="6" t="n">
        <v>4.8</v>
      </c>
      <c r="M311" s="5" t="n">
        <v>548103.7</v>
      </c>
      <c r="N311" s="5" t="n">
        <v>99905.52</v>
      </c>
    </row>
    <row r="312" customFormat="false" ht="15" hidden="false" customHeight="false" outlineLevel="0" collapsed="false">
      <c r="A312" s="7" t="s">
        <v>100</v>
      </c>
      <c r="B312" s="7" t="s">
        <v>17</v>
      </c>
      <c r="C312" s="7" t="s">
        <v>18</v>
      </c>
      <c r="D312" s="7" t="s">
        <v>19</v>
      </c>
      <c r="E312" s="8" t="n">
        <v>70012.41</v>
      </c>
      <c r="F312" s="7" t="n">
        <v>8484</v>
      </c>
      <c r="G312" s="7" t="n">
        <v>0.273</v>
      </c>
      <c r="H312" s="7" t="n">
        <v>23</v>
      </c>
      <c r="I312" s="7" t="n">
        <v>72.9</v>
      </c>
      <c r="J312" s="9" t="n">
        <v>3.34</v>
      </c>
      <c r="K312" s="7" t="n">
        <v>0</v>
      </c>
      <c r="L312" s="9" t="n">
        <v>3.7</v>
      </c>
      <c r="M312" s="8" t="n">
        <v>729424.42</v>
      </c>
      <c r="N312" s="8" t="n">
        <v>75592.28</v>
      </c>
    </row>
    <row r="313" customFormat="false" ht="15" hidden="false" customHeight="false" outlineLevel="0" collapsed="false">
      <c r="A313" s="4" t="s">
        <v>100</v>
      </c>
      <c r="B313" s="4" t="s">
        <v>20</v>
      </c>
      <c r="C313" s="4" t="s">
        <v>18</v>
      </c>
      <c r="D313" s="4" t="s">
        <v>19</v>
      </c>
      <c r="E313" s="5" t="n">
        <v>68909.26</v>
      </c>
      <c r="F313" s="4" t="n">
        <v>7794</v>
      </c>
      <c r="G313" s="4" t="n">
        <v>0.284</v>
      </c>
      <c r="H313" s="4" t="n">
        <v>22</v>
      </c>
      <c r="I313" s="4" t="n">
        <v>89</v>
      </c>
      <c r="J313" s="6" t="n">
        <v>0.33</v>
      </c>
      <c r="K313" s="4" t="n">
        <v>0</v>
      </c>
      <c r="L313" s="6" t="n">
        <v>4</v>
      </c>
      <c r="M313" s="5" t="n">
        <v>696261.49</v>
      </c>
      <c r="N313" s="5" t="n">
        <v>72455.35</v>
      </c>
    </row>
    <row r="314" customFormat="false" ht="15" hidden="false" customHeight="false" outlineLevel="0" collapsed="false">
      <c r="A314" s="7" t="s">
        <v>100</v>
      </c>
      <c r="B314" s="7" t="s">
        <v>21</v>
      </c>
      <c r="C314" s="7" t="s">
        <v>18</v>
      </c>
      <c r="D314" s="7" t="s">
        <v>19</v>
      </c>
      <c r="E314" s="8" t="n">
        <v>56737.3</v>
      </c>
      <c r="F314" s="7" t="n">
        <v>8300</v>
      </c>
      <c r="G314" s="7" t="n">
        <v>0.032</v>
      </c>
      <c r="H314" s="7" t="n">
        <v>21</v>
      </c>
      <c r="I314" s="7" t="n">
        <v>83.2</v>
      </c>
      <c r="J314" s="9" t="n">
        <v>3.44</v>
      </c>
      <c r="K314" s="7" t="n">
        <v>1</v>
      </c>
      <c r="L314" s="9" t="n">
        <v>4.3</v>
      </c>
      <c r="M314" s="8" t="n">
        <v>813316.71</v>
      </c>
      <c r="N314" s="8" t="n">
        <v>110077.42</v>
      </c>
    </row>
    <row r="315" customFormat="false" ht="15" hidden="false" customHeight="false" outlineLevel="0" collapsed="false">
      <c r="A315" s="4" t="s">
        <v>100</v>
      </c>
      <c r="B315" s="4" t="s">
        <v>22</v>
      </c>
      <c r="C315" s="4" t="s">
        <v>18</v>
      </c>
      <c r="D315" s="4" t="s">
        <v>19</v>
      </c>
      <c r="E315" s="5" t="n">
        <v>54080.91</v>
      </c>
      <c r="F315" s="4" t="n">
        <v>7083</v>
      </c>
      <c r="G315" s="4" t="n">
        <v>0</v>
      </c>
      <c r="H315" s="4" t="n">
        <v>15</v>
      </c>
      <c r="I315" s="4" t="n">
        <v>97</v>
      </c>
      <c r="J315" s="6" t="n">
        <v>5.33</v>
      </c>
      <c r="K315" s="4" t="n">
        <v>0</v>
      </c>
      <c r="L315" s="6" t="n">
        <v>4.1</v>
      </c>
      <c r="M315" s="5" t="n">
        <v>702068.92</v>
      </c>
      <c r="N315" s="5" t="n">
        <v>111266.63</v>
      </c>
    </row>
    <row r="316" customFormat="false" ht="15" hidden="false" customHeight="false" outlineLevel="0" collapsed="false">
      <c r="A316" s="7" t="s">
        <v>101</v>
      </c>
      <c r="B316" s="7" t="s">
        <v>17</v>
      </c>
      <c r="C316" s="7" t="s">
        <v>33</v>
      </c>
      <c r="D316" s="7" t="s">
        <v>24</v>
      </c>
      <c r="E316" s="8" t="n">
        <v>51996.32</v>
      </c>
      <c r="F316" s="7" t="n">
        <v>3834</v>
      </c>
      <c r="G316" s="7" t="n">
        <v>0.096</v>
      </c>
      <c r="H316" s="7" t="n">
        <v>8</v>
      </c>
      <c r="I316" s="7" t="n">
        <v>86.7</v>
      </c>
      <c r="J316" s="9" t="n">
        <v>6.04</v>
      </c>
      <c r="K316" s="7" t="n">
        <v>0</v>
      </c>
      <c r="L316" s="9" t="n">
        <v>4.5</v>
      </c>
      <c r="M316" s="8" t="n">
        <v>546223.7</v>
      </c>
      <c r="N316" s="8" t="n">
        <v>100769.17</v>
      </c>
    </row>
    <row r="317" customFormat="false" ht="15" hidden="false" customHeight="false" outlineLevel="0" collapsed="false">
      <c r="A317" s="4" t="s">
        <v>101</v>
      </c>
      <c r="B317" s="4" t="s">
        <v>20</v>
      </c>
      <c r="C317" s="4" t="s">
        <v>33</v>
      </c>
      <c r="D317" s="4" t="s">
        <v>24</v>
      </c>
      <c r="E317" s="5" t="n">
        <v>40102.88</v>
      </c>
      <c r="F317" s="4" t="n">
        <v>2358</v>
      </c>
      <c r="G317" s="4" t="n">
        <v>0.119</v>
      </c>
      <c r="H317" s="4" t="n">
        <v>9</v>
      </c>
      <c r="I317" s="4" t="n">
        <v>88.7</v>
      </c>
      <c r="J317" s="6" t="n">
        <v>1.6</v>
      </c>
      <c r="K317" s="4" t="n">
        <v>0</v>
      </c>
      <c r="L317" s="6" t="n">
        <v>4.2</v>
      </c>
      <c r="M317" s="5" t="n">
        <v>533121.26</v>
      </c>
      <c r="N317" s="5" t="n">
        <v>55063.39</v>
      </c>
    </row>
    <row r="318" customFormat="false" ht="15" hidden="false" customHeight="false" outlineLevel="0" collapsed="false">
      <c r="A318" s="7" t="s">
        <v>101</v>
      </c>
      <c r="B318" s="7" t="s">
        <v>21</v>
      </c>
      <c r="C318" s="7" t="s">
        <v>33</v>
      </c>
      <c r="D318" s="7" t="s">
        <v>24</v>
      </c>
      <c r="E318" s="8" t="n">
        <v>59825.51</v>
      </c>
      <c r="F318" s="7" t="n">
        <v>1231</v>
      </c>
      <c r="G318" s="7" t="n">
        <v>0.214</v>
      </c>
      <c r="H318" s="7" t="n">
        <v>10</v>
      </c>
      <c r="I318" s="7" t="n">
        <v>84.8</v>
      </c>
      <c r="J318" s="9" t="n">
        <v>8.96</v>
      </c>
      <c r="K318" s="7" t="n">
        <v>0</v>
      </c>
      <c r="L318" s="9" t="n">
        <v>4.7</v>
      </c>
      <c r="M318" s="8" t="n">
        <v>498970.32</v>
      </c>
      <c r="N318" s="8" t="n">
        <v>69656.7</v>
      </c>
    </row>
    <row r="319" customFormat="false" ht="15" hidden="false" customHeight="false" outlineLevel="0" collapsed="false">
      <c r="A319" s="4" t="s">
        <v>101</v>
      </c>
      <c r="B319" s="4" t="s">
        <v>22</v>
      </c>
      <c r="C319" s="4" t="s">
        <v>33</v>
      </c>
      <c r="D319" s="4" t="s">
        <v>24</v>
      </c>
      <c r="E319" s="5" t="n">
        <v>27398.28</v>
      </c>
      <c r="F319" s="4" t="n">
        <v>1723</v>
      </c>
      <c r="G319" s="4" t="n">
        <v>0.171</v>
      </c>
      <c r="H319" s="4" t="n">
        <v>9</v>
      </c>
      <c r="I319" s="4" t="n">
        <v>81</v>
      </c>
      <c r="J319" s="6" t="n">
        <v>0.74</v>
      </c>
      <c r="K319" s="4" t="n">
        <v>0</v>
      </c>
      <c r="L319" s="6" t="n">
        <v>4.6</v>
      </c>
      <c r="M319" s="5" t="n">
        <v>487738.26</v>
      </c>
      <c r="N319" s="5" t="n">
        <v>96435.6</v>
      </c>
    </row>
    <row r="320" customFormat="false" ht="15" hidden="false" customHeight="false" outlineLevel="0" collapsed="false">
      <c r="A320" s="7" t="s">
        <v>102</v>
      </c>
      <c r="B320" s="7" t="s">
        <v>17</v>
      </c>
      <c r="C320" s="7" t="s">
        <v>33</v>
      </c>
      <c r="D320" s="7" t="s">
        <v>24</v>
      </c>
      <c r="E320" s="8" t="n">
        <v>55599.56</v>
      </c>
      <c r="F320" s="7" t="n">
        <v>5896</v>
      </c>
      <c r="G320" s="7" t="n">
        <v>0.036</v>
      </c>
      <c r="H320" s="7" t="n">
        <v>12</v>
      </c>
      <c r="I320" s="7" t="n">
        <v>93.1</v>
      </c>
      <c r="J320" s="9" t="n">
        <v>6.13</v>
      </c>
      <c r="K320" s="7" t="n">
        <v>0</v>
      </c>
      <c r="L320" s="9" t="n">
        <v>3.3</v>
      </c>
      <c r="M320" s="8" t="n">
        <v>668459.37</v>
      </c>
      <c r="N320" s="8" t="n">
        <v>126435.42</v>
      </c>
    </row>
    <row r="321" customFormat="false" ht="15" hidden="false" customHeight="false" outlineLevel="0" collapsed="false">
      <c r="A321" s="4" t="s">
        <v>102</v>
      </c>
      <c r="B321" s="4" t="s">
        <v>20</v>
      </c>
      <c r="C321" s="4" t="s">
        <v>33</v>
      </c>
      <c r="D321" s="4" t="s">
        <v>24</v>
      </c>
      <c r="E321" s="5" t="n">
        <v>55477.61</v>
      </c>
      <c r="F321" s="4" t="n">
        <v>5903</v>
      </c>
      <c r="G321" s="4" t="n">
        <v>0.102</v>
      </c>
      <c r="H321" s="4" t="n">
        <v>14</v>
      </c>
      <c r="I321" s="4" t="n">
        <v>96.2</v>
      </c>
      <c r="J321" s="6" t="n">
        <v>1.41</v>
      </c>
      <c r="K321" s="4" t="n">
        <v>0</v>
      </c>
      <c r="L321" s="6" t="n">
        <v>3.3</v>
      </c>
      <c r="M321" s="5" t="n">
        <v>763162.45</v>
      </c>
      <c r="N321" s="5" t="n">
        <v>162524.05</v>
      </c>
    </row>
    <row r="322" customFormat="false" ht="15" hidden="false" customHeight="false" outlineLevel="0" collapsed="false">
      <c r="A322" s="7" t="s">
        <v>102</v>
      </c>
      <c r="B322" s="7" t="s">
        <v>21</v>
      </c>
      <c r="C322" s="7" t="s">
        <v>33</v>
      </c>
      <c r="D322" s="7" t="s">
        <v>24</v>
      </c>
      <c r="E322" s="8" t="n">
        <v>46174.7</v>
      </c>
      <c r="F322" s="7" t="n">
        <v>4898</v>
      </c>
      <c r="G322" s="7" t="n">
        <v>0.114</v>
      </c>
      <c r="H322" s="7" t="n">
        <v>11</v>
      </c>
      <c r="I322" s="7" t="n">
        <v>91.7</v>
      </c>
      <c r="J322" s="9" t="n">
        <v>3.75</v>
      </c>
      <c r="K322" s="7" t="n">
        <v>0</v>
      </c>
      <c r="L322" s="9" t="n">
        <v>3.1</v>
      </c>
      <c r="M322" s="8" t="n">
        <v>599017.33</v>
      </c>
      <c r="N322" s="8" t="n">
        <v>134009.92</v>
      </c>
    </row>
    <row r="323" customFormat="false" ht="15" hidden="false" customHeight="false" outlineLevel="0" collapsed="false">
      <c r="A323" s="4" t="s">
        <v>102</v>
      </c>
      <c r="B323" s="4" t="s">
        <v>22</v>
      </c>
      <c r="C323" s="4" t="s">
        <v>33</v>
      </c>
      <c r="D323" s="4" t="s">
        <v>24</v>
      </c>
      <c r="E323" s="5" t="n">
        <v>24362.98</v>
      </c>
      <c r="F323" s="4" t="n">
        <v>1462</v>
      </c>
      <c r="G323" s="4" t="n">
        <v>0.117</v>
      </c>
      <c r="H323" s="4" t="n">
        <v>6</v>
      </c>
      <c r="I323" s="4" t="n">
        <v>89.3</v>
      </c>
      <c r="J323" s="6" t="n">
        <v>15.06</v>
      </c>
      <c r="K323" s="4" t="n">
        <v>0</v>
      </c>
      <c r="L323" s="6" t="n">
        <v>3.2</v>
      </c>
      <c r="M323" s="5" t="n">
        <v>401582.58</v>
      </c>
      <c r="N323" s="5" t="n">
        <v>68454.93</v>
      </c>
    </row>
    <row r="324" customFormat="false" ht="15" hidden="false" customHeight="false" outlineLevel="0" collapsed="false">
      <c r="A324" s="7" t="s">
        <v>103</v>
      </c>
      <c r="B324" s="7" t="s">
        <v>17</v>
      </c>
      <c r="C324" s="7" t="s">
        <v>26</v>
      </c>
      <c r="D324" s="7" t="s">
        <v>34</v>
      </c>
      <c r="E324" s="8" t="n">
        <v>40647.67</v>
      </c>
      <c r="F324" s="7" t="n">
        <v>8252</v>
      </c>
      <c r="G324" s="7" t="n">
        <v>0.141</v>
      </c>
      <c r="H324" s="7" t="n">
        <v>22</v>
      </c>
      <c r="I324" s="7" t="n">
        <v>88.2</v>
      </c>
      <c r="J324" s="9" t="n">
        <v>5.07</v>
      </c>
      <c r="K324" s="7" t="n">
        <v>1</v>
      </c>
      <c r="L324" s="9" t="n">
        <v>4.1</v>
      </c>
      <c r="M324" s="8" t="n">
        <v>703812.99</v>
      </c>
      <c r="N324" s="8" t="n">
        <v>133577.98</v>
      </c>
    </row>
    <row r="325" customFormat="false" ht="15" hidden="false" customHeight="false" outlineLevel="0" collapsed="false">
      <c r="A325" s="4" t="s">
        <v>103</v>
      </c>
      <c r="B325" s="4" t="s">
        <v>20</v>
      </c>
      <c r="C325" s="4" t="s">
        <v>26</v>
      </c>
      <c r="D325" s="4" t="s">
        <v>34</v>
      </c>
      <c r="E325" s="5" t="n">
        <v>63986.98</v>
      </c>
      <c r="F325" s="4" t="n">
        <v>7989</v>
      </c>
      <c r="G325" s="4" t="n">
        <v>0.074</v>
      </c>
      <c r="H325" s="4" t="n">
        <v>20</v>
      </c>
      <c r="I325" s="4" t="n">
        <v>83.3</v>
      </c>
      <c r="J325" s="6" t="n">
        <v>3.6</v>
      </c>
      <c r="K325" s="4" t="n">
        <v>0</v>
      </c>
      <c r="L325" s="6" t="n">
        <v>3.7</v>
      </c>
      <c r="M325" s="5" t="n">
        <v>724346.73</v>
      </c>
      <c r="N325" s="5" t="n">
        <v>155013.91</v>
      </c>
    </row>
    <row r="326" customFormat="false" ht="15" hidden="false" customHeight="false" outlineLevel="0" collapsed="false">
      <c r="A326" s="7" t="s">
        <v>103</v>
      </c>
      <c r="B326" s="7" t="s">
        <v>21</v>
      </c>
      <c r="C326" s="7" t="s">
        <v>26</v>
      </c>
      <c r="D326" s="7" t="s">
        <v>34</v>
      </c>
      <c r="E326" s="8" t="n">
        <v>52843.75</v>
      </c>
      <c r="F326" s="7" t="n">
        <v>8268</v>
      </c>
      <c r="G326" s="7" t="n">
        <v>0.138</v>
      </c>
      <c r="H326" s="7" t="n">
        <v>19</v>
      </c>
      <c r="I326" s="7" t="n">
        <v>87.3</v>
      </c>
      <c r="J326" s="9" t="n">
        <v>4.39</v>
      </c>
      <c r="K326" s="7" t="n">
        <v>1</v>
      </c>
      <c r="L326" s="9" t="n">
        <v>4.7</v>
      </c>
      <c r="M326" s="8" t="n">
        <v>730890.01</v>
      </c>
      <c r="N326" s="8" t="n">
        <v>105502.56</v>
      </c>
    </row>
    <row r="327" customFormat="false" ht="15" hidden="false" customHeight="false" outlineLevel="0" collapsed="false">
      <c r="A327" s="4" t="s">
        <v>103</v>
      </c>
      <c r="B327" s="4" t="s">
        <v>22</v>
      </c>
      <c r="C327" s="4" t="s">
        <v>26</v>
      </c>
      <c r="D327" s="4" t="s">
        <v>34</v>
      </c>
      <c r="E327" s="5" t="n">
        <v>31997.25</v>
      </c>
      <c r="F327" s="4" t="n">
        <v>8183</v>
      </c>
      <c r="G327" s="4" t="n">
        <v>0.198</v>
      </c>
      <c r="H327" s="4" t="n">
        <v>18</v>
      </c>
      <c r="I327" s="4" t="n">
        <v>93</v>
      </c>
      <c r="J327" s="6" t="n">
        <v>2.79</v>
      </c>
      <c r="K327" s="4" t="n">
        <v>0</v>
      </c>
      <c r="L327" s="6" t="n">
        <v>4.2</v>
      </c>
      <c r="M327" s="5" t="n">
        <v>780580.95</v>
      </c>
      <c r="N327" s="5" t="n">
        <v>138144.46</v>
      </c>
    </row>
    <row r="328" customFormat="false" ht="15" hidden="false" customHeight="false" outlineLevel="0" collapsed="false">
      <c r="A328" s="7" t="s">
        <v>104</v>
      </c>
      <c r="B328" s="7" t="s">
        <v>17</v>
      </c>
      <c r="C328" s="7" t="s">
        <v>30</v>
      </c>
      <c r="D328" s="7" t="s">
        <v>19</v>
      </c>
      <c r="E328" s="8" t="n">
        <v>54948.02</v>
      </c>
      <c r="F328" s="7" t="n">
        <v>6534</v>
      </c>
      <c r="G328" s="7" t="n">
        <v>0.183</v>
      </c>
      <c r="H328" s="7" t="n">
        <v>14</v>
      </c>
      <c r="I328" s="7" t="n">
        <v>94.5</v>
      </c>
      <c r="J328" s="9" t="n">
        <v>1.56</v>
      </c>
      <c r="K328" s="7" t="n">
        <v>0</v>
      </c>
      <c r="L328" s="9" t="n">
        <v>4</v>
      </c>
      <c r="M328" s="8" t="n">
        <v>727957.48</v>
      </c>
      <c r="N328" s="8" t="n">
        <v>74805.23</v>
      </c>
    </row>
    <row r="329" customFormat="false" ht="15" hidden="false" customHeight="false" outlineLevel="0" collapsed="false">
      <c r="A329" s="4" t="s">
        <v>104</v>
      </c>
      <c r="B329" s="4" t="s">
        <v>20</v>
      </c>
      <c r="C329" s="4" t="s">
        <v>30</v>
      </c>
      <c r="D329" s="4" t="s">
        <v>19</v>
      </c>
      <c r="E329" s="5" t="n">
        <v>46146.24</v>
      </c>
      <c r="F329" s="4" t="n">
        <v>5804</v>
      </c>
      <c r="G329" s="4" t="n">
        <v>0.047</v>
      </c>
      <c r="H329" s="4" t="n">
        <v>16</v>
      </c>
      <c r="I329" s="4" t="n">
        <v>86.9</v>
      </c>
      <c r="J329" s="6" t="n">
        <v>15.82</v>
      </c>
      <c r="K329" s="4" t="n">
        <v>0</v>
      </c>
      <c r="L329" s="6" t="n">
        <v>3.8</v>
      </c>
      <c r="M329" s="5" t="n">
        <v>538376</v>
      </c>
      <c r="N329" s="5" t="n">
        <v>87605.62</v>
      </c>
    </row>
    <row r="330" customFormat="false" ht="15" hidden="false" customHeight="false" outlineLevel="0" collapsed="false">
      <c r="A330" s="7" t="s">
        <v>104</v>
      </c>
      <c r="B330" s="7" t="s">
        <v>21</v>
      </c>
      <c r="C330" s="7" t="s">
        <v>30</v>
      </c>
      <c r="D330" s="7" t="s">
        <v>19</v>
      </c>
      <c r="E330" s="8" t="n">
        <v>22387.26</v>
      </c>
      <c r="F330" s="7" t="n">
        <v>6301</v>
      </c>
      <c r="G330" s="7" t="n">
        <v>0.146</v>
      </c>
      <c r="H330" s="7" t="n">
        <v>14</v>
      </c>
      <c r="I330" s="7" t="n">
        <v>85.9</v>
      </c>
      <c r="J330" s="9" t="n">
        <v>1.17</v>
      </c>
      <c r="K330" s="7" t="n">
        <v>1</v>
      </c>
      <c r="L330" s="9" t="n">
        <v>3.7</v>
      </c>
      <c r="M330" s="8" t="n">
        <v>665342.49</v>
      </c>
      <c r="N330" s="8" t="n">
        <v>93441.81</v>
      </c>
    </row>
    <row r="331" customFormat="false" ht="15" hidden="false" customHeight="false" outlineLevel="0" collapsed="false">
      <c r="A331" s="4" t="s">
        <v>104</v>
      </c>
      <c r="B331" s="4" t="s">
        <v>22</v>
      </c>
      <c r="C331" s="4" t="s">
        <v>30</v>
      </c>
      <c r="D331" s="4" t="s">
        <v>19</v>
      </c>
      <c r="E331" s="5" t="n">
        <v>60684.05</v>
      </c>
      <c r="F331" s="4" t="n">
        <v>6399</v>
      </c>
      <c r="G331" s="4" t="n">
        <v>0.075</v>
      </c>
      <c r="H331" s="4" t="n">
        <v>16</v>
      </c>
      <c r="I331" s="4" t="n">
        <v>99</v>
      </c>
      <c r="J331" s="6" t="n">
        <v>3.82</v>
      </c>
      <c r="K331" s="4" t="n">
        <v>0</v>
      </c>
      <c r="L331" s="6" t="n">
        <v>3.5</v>
      </c>
      <c r="M331" s="5" t="n">
        <v>651164.18</v>
      </c>
      <c r="N331" s="5" t="n">
        <v>109466.5</v>
      </c>
    </row>
    <row r="332" customFormat="false" ht="15" hidden="false" customHeight="false" outlineLevel="0" collapsed="false">
      <c r="A332" s="7" t="s">
        <v>105</v>
      </c>
      <c r="B332" s="7" t="s">
        <v>17</v>
      </c>
      <c r="C332" s="7" t="s">
        <v>30</v>
      </c>
      <c r="D332" s="7" t="s">
        <v>24</v>
      </c>
      <c r="E332" s="8" t="n">
        <v>48465.6</v>
      </c>
      <c r="F332" s="7" t="n">
        <v>5759</v>
      </c>
      <c r="G332" s="7" t="n">
        <v>0.154</v>
      </c>
      <c r="H332" s="7" t="n">
        <v>13</v>
      </c>
      <c r="I332" s="7" t="n">
        <v>87.5</v>
      </c>
      <c r="J332" s="9" t="n">
        <v>4.14</v>
      </c>
      <c r="K332" s="7" t="n">
        <v>0</v>
      </c>
      <c r="L332" s="9" t="n">
        <v>4</v>
      </c>
      <c r="M332" s="8" t="n">
        <v>628538.3</v>
      </c>
      <c r="N332" s="8" t="n">
        <v>112509.15</v>
      </c>
    </row>
    <row r="333" customFormat="false" ht="15" hidden="false" customHeight="false" outlineLevel="0" collapsed="false">
      <c r="A333" s="4" t="s">
        <v>105</v>
      </c>
      <c r="B333" s="4" t="s">
        <v>20</v>
      </c>
      <c r="C333" s="4" t="s">
        <v>30</v>
      </c>
      <c r="D333" s="4" t="s">
        <v>24</v>
      </c>
      <c r="E333" s="5" t="n">
        <v>23702.38</v>
      </c>
      <c r="F333" s="4" t="n">
        <v>5285</v>
      </c>
      <c r="G333" s="4" t="n">
        <v>0.167</v>
      </c>
      <c r="H333" s="4" t="n">
        <v>14</v>
      </c>
      <c r="I333" s="4" t="n">
        <v>79.7</v>
      </c>
      <c r="J333" s="6" t="n">
        <v>1.1</v>
      </c>
      <c r="K333" s="4" t="n">
        <v>0</v>
      </c>
      <c r="L333" s="6" t="n">
        <v>4.3</v>
      </c>
      <c r="M333" s="5" t="n">
        <v>536524.84</v>
      </c>
      <c r="N333" s="5" t="n">
        <v>92752.94</v>
      </c>
    </row>
    <row r="334" customFormat="false" ht="15" hidden="false" customHeight="false" outlineLevel="0" collapsed="false">
      <c r="A334" s="7" t="s">
        <v>105</v>
      </c>
      <c r="B334" s="7" t="s">
        <v>21</v>
      </c>
      <c r="C334" s="7" t="s">
        <v>30</v>
      </c>
      <c r="D334" s="7" t="s">
        <v>24</v>
      </c>
      <c r="E334" s="8" t="n">
        <v>54322.94</v>
      </c>
      <c r="F334" s="7" t="n">
        <v>5434</v>
      </c>
      <c r="G334" s="7" t="n">
        <v>0.2</v>
      </c>
      <c r="H334" s="7" t="n">
        <v>13</v>
      </c>
      <c r="I334" s="7" t="n">
        <v>85.7</v>
      </c>
      <c r="J334" s="9" t="n">
        <v>10.6</v>
      </c>
      <c r="K334" s="7" t="n">
        <v>0</v>
      </c>
      <c r="L334" s="9" t="n">
        <v>4.2</v>
      </c>
      <c r="M334" s="8" t="n">
        <v>621677.3</v>
      </c>
      <c r="N334" s="8" t="n">
        <v>105192.52</v>
      </c>
    </row>
    <row r="335" customFormat="false" ht="15" hidden="false" customHeight="false" outlineLevel="0" collapsed="false">
      <c r="A335" s="4" t="s">
        <v>105</v>
      </c>
      <c r="B335" s="4" t="s">
        <v>22</v>
      </c>
      <c r="C335" s="4" t="s">
        <v>30</v>
      </c>
      <c r="D335" s="4" t="s">
        <v>24</v>
      </c>
      <c r="E335" s="5" t="n">
        <v>86026.58</v>
      </c>
      <c r="F335" s="4" t="n">
        <v>7479</v>
      </c>
      <c r="G335" s="4" t="n">
        <v>0.142</v>
      </c>
      <c r="H335" s="4" t="n">
        <v>20</v>
      </c>
      <c r="I335" s="4" t="n">
        <v>89</v>
      </c>
      <c r="J335" s="6" t="n">
        <v>0.9</v>
      </c>
      <c r="K335" s="4" t="n">
        <v>0</v>
      </c>
      <c r="L335" s="6" t="n">
        <v>3.9</v>
      </c>
      <c r="M335" s="5" t="n">
        <v>771129.07</v>
      </c>
      <c r="N335" s="5" t="n">
        <v>116851.13</v>
      </c>
    </row>
    <row r="336" customFormat="false" ht="15" hidden="false" customHeight="false" outlineLevel="0" collapsed="false">
      <c r="A336" s="7" t="s">
        <v>106</v>
      </c>
      <c r="B336" s="7" t="s">
        <v>17</v>
      </c>
      <c r="C336" s="7" t="s">
        <v>26</v>
      </c>
      <c r="D336" s="7" t="s">
        <v>19</v>
      </c>
      <c r="E336" s="8" t="n">
        <v>78967.52</v>
      </c>
      <c r="F336" s="7" t="n">
        <v>6164</v>
      </c>
      <c r="G336" s="7" t="n">
        <v>0.021</v>
      </c>
      <c r="H336" s="7" t="n">
        <v>16</v>
      </c>
      <c r="I336" s="7" t="n">
        <v>85.5</v>
      </c>
      <c r="J336" s="9" t="n">
        <v>0.2</v>
      </c>
      <c r="K336" s="7" t="n">
        <v>0</v>
      </c>
      <c r="L336" s="9" t="n">
        <v>3.4</v>
      </c>
      <c r="M336" s="8" t="n">
        <v>702052.47</v>
      </c>
      <c r="N336" s="8" t="n">
        <v>121732.51</v>
      </c>
    </row>
    <row r="337" customFormat="false" ht="15" hidden="false" customHeight="false" outlineLevel="0" collapsed="false">
      <c r="A337" s="4" t="s">
        <v>106</v>
      </c>
      <c r="B337" s="4" t="s">
        <v>20</v>
      </c>
      <c r="C337" s="4" t="s">
        <v>26</v>
      </c>
      <c r="D337" s="4" t="s">
        <v>19</v>
      </c>
      <c r="E337" s="5" t="n">
        <v>46767.99</v>
      </c>
      <c r="F337" s="4" t="n">
        <v>7973</v>
      </c>
      <c r="G337" s="4" t="n">
        <v>0.183</v>
      </c>
      <c r="H337" s="4" t="n">
        <v>18</v>
      </c>
      <c r="I337" s="4" t="n">
        <v>94.8</v>
      </c>
      <c r="J337" s="6" t="n">
        <v>4.67</v>
      </c>
      <c r="K337" s="4" t="n">
        <v>0</v>
      </c>
      <c r="L337" s="6" t="n">
        <v>4</v>
      </c>
      <c r="M337" s="5" t="n">
        <v>688368.46</v>
      </c>
      <c r="N337" s="5" t="n">
        <v>93588.42</v>
      </c>
    </row>
    <row r="338" customFormat="false" ht="15" hidden="false" customHeight="false" outlineLevel="0" collapsed="false">
      <c r="A338" s="7" t="s">
        <v>106</v>
      </c>
      <c r="B338" s="7" t="s">
        <v>21</v>
      </c>
      <c r="C338" s="7" t="s">
        <v>26</v>
      </c>
      <c r="D338" s="7" t="s">
        <v>19</v>
      </c>
      <c r="E338" s="8" t="n">
        <v>62507.16</v>
      </c>
      <c r="F338" s="7" t="n">
        <v>6000</v>
      </c>
      <c r="G338" s="7" t="n">
        <v>0.091</v>
      </c>
      <c r="H338" s="7" t="n">
        <v>14</v>
      </c>
      <c r="I338" s="7" t="n">
        <v>98.2</v>
      </c>
      <c r="J338" s="9" t="n">
        <v>4.38</v>
      </c>
      <c r="K338" s="7" t="n">
        <v>1</v>
      </c>
      <c r="L338" s="9" t="n">
        <v>3.9</v>
      </c>
      <c r="M338" s="8" t="n">
        <v>712375.77</v>
      </c>
      <c r="N338" s="8" t="n">
        <v>104171.53</v>
      </c>
    </row>
    <row r="339" customFormat="false" ht="15" hidden="false" customHeight="false" outlineLevel="0" collapsed="false">
      <c r="A339" s="4" t="s">
        <v>106</v>
      </c>
      <c r="B339" s="4" t="s">
        <v>22</v>
      </c>
      <c r="C339" s="4" t="s">
        <v>26</v>
      </c>
      <c r="D339" s="4" t="s">
        <v>19</v>
      </c>
      <c r="E339" s="5" t="n">
        <v>66456.28</v>
      </c>
      <c r="F339" s="4" t="n">
        <v>9967</v>
      </c>
      <c r="G339" s="4" t="n">
        <v>0.108</v>
      </c>
      <c r="H339" s="4" t="n">
        <v>20</v>
      </c>
      <c r="I339" s="4" t="n">
        <v>94.7</v>
      </c>
      <c r="J339" s="6" t="n">
        <v>4.48</v>
      </c>
      <c r="K339" s="4" t="n">
        <v>0</v>
      </c>
      <c r="L339" s="6" t="n">
        <v>4.2</v>
      </c>
      <c r="M339" s="5" t="n">
        <v>844710.67</v>
      </c>
      <c r="N339" s="5" t="n">
        <v>137140.18</v>
      </c>
    </row>
    <row r="340" customFormat="false" ht="15" hidden="false" customHeight="false" outlineLevel="0" collapsed="false">
      <c r="A340" s="7" t="s">
        <v>107</v>
      </c>
      <c r="B340" s="7" t="s">
        <v>17</v>
      </c>
      <c r="C340" s="7" t="s">
        <v>18</v>
      </c>
      <c r="D340" s="7" t="s">
        <v>19</v>
      </c>
      <c r="E340" s="8" t="n">
        <v>76614.32</v>
      </c>
      <c r="F340" s="7" t="n">
        <v>5639</v>
      </c>
      <c r="G340" s="7" t="n">
        <v>0.174</v>
      </c>
      <c r="H340" s="7" t="n">
        <v>15</v>
      </c>
      <c r="I340" s="7" t="n">
        <v>92.9</v>
      </c>
      <c r="J340" s="9" t="n">
        <v>1.02</v>
      </c>
      <c r="K340" s="7" t="n">
        <v>1</v>
      </c>
      <c r="L340" s="9" t="n">
        <v>4</v>
      </c>
      <c r="M340" s="8" t="n">
        <v>620264.2</v>
      </c>
      <c r="N340" s="8" t="n">
        <v>91365.64</v>
      </c>
    </row>
    <row r="341" customFormat="false" ht="15" hidden="false" customHeight="false" outlineLevel="0" collapsed="false">
      <c r="A341" s="4" t="s">
        <v>107</v>
      </c>
      <c r="B341" s="4" t="s">
        <v>20</v>
      </c>
      <c r="C341" s="4" t="s">
        <v>18</v>
      </c>
      <c r="D341" s="4" t="s">
        <v>19</v>
      </c>
      <c r="E341" s="5" t="n">
        <v>24088.06</v>
      </c>
      <c r="F341" s="4" t="n">
        <v>3466</v>
      </c>
      <c r="G341" s="4" t="n">
        <v>0</v>
      </c>
      <c r="H341" s="4" t="n">
        <v>11</v>
      </c>
      <c r="I341" s="4" t="n">
        <v>88</v>
      </c>
      <c r="J341" s="6" t="n">
        <v>0.2</v>
      </c>
      <c r="K341" s="4" t="n">
        <v>0</v>
      </c>
      <c r="L341" s="6" t="n">
        <v>3.8</v>
      </c>
      <c r="M341" s="5" t="n">
        <v>536845.42</v>
      </c>
      <c r="N341" s="5" t="n">
        <v>107473.75</v>
      </c>
    </row>
    <row r="342" customFormat="false" ht="15" hidden="false" customHeight="false" outlineLevel="0" collapsed="false">
      <c r="A342" s="7" t="s">
        <v>107</v>
      </c>
      <c r="B342" s="7" t="s">
        <v>21</v>
      </c>
      <c r="C342" s="7" t="s">
        <v>18</v>
      </c>
      <c r="D342" s="7" t="s">
        <v>19</v>
      </c>
      <c r="E342" s="8" t="n">
        <v>81902.58</v>
      </c>
      <c r="F342" s="7" t="n">
        <v>7775</v>
      </c>
      <c r="G342" s="7" t="n">
        <v>0.215</v>
      </c>
      <c r="H342" s="7" t="n">
        <v>20</v>
      </c>
      <c r="I342" s="7" t="n">
        <v>85.2</v>
      </c>
      <c r="J342" s="9" t="n">
        <v>4.89</v>
      </c>
      <c r="K342" s="7" t="n">
        <v>1</v>
      </c>
      <c r="L342" s="9" t="n">
        <v>4.2</v>
      </c>
      <c r="M342" s="8" t="n">
        <v>726776.22</v>
      </c>
      <c r="N342" s="8" t="n">
        <v>90804.49</v>
      </c>
    </row>
    <row r="343" customFormat="false" ht="15" hidden="false" customHeight="false" outlineLevel="0" collapsed="false">
      <c r="A343" s="4" t="s">
        <v>107</v>
      </c>
      <c r="B343" s="4" t="s">
        <v>22</v>
      </c>
      <c r="C343" s="4" t="s">
        <v>18</v>
      </c>
      <c r="D343" s="4" t="s">
        <v>19</v>
      </c>
      <c r="E343" s="5" t="n">
        <v>40553.11</v>
      </c>
      <c r="F343" s="4" t="n">
        <v>5317</v>
      </c>
      <c r="G343" s="4" t="n">
        <v>0.165</v>
      </c>
      <c r="H343" s="4" t="n">
        <v>17</v>
      </c>
      <c r="I343" s="4" t="n">
        <v>84.3</v>
      </c>
      <c r="J343" s="6" t="n">
        <v>11.82</v>
      </c>
      <c r="K343" s="4" t="n">
        <v>0</v>
      </c>
      <c r="L343" s="6" t="n">
        <v>4.1</v>
      </c>
      <c r="M343" s="5" t="n">
        <v>559660.84</v>
      </c>
      <c r="N343" s="5" t="n">
        <v>71443.61</v>
      </c>
    </row>
  </sheetData>
  <mergeCells count="6">
    <mergeCell ref="A1:N1"/>
    <mergeCell ref="C4:N4"/>
    <mergeCell ref="C5:N5"/>
    <mergeCell ref="C6:N6"/>
    <mergeCell ref="C7:N7"/>
    <mergeCell ref="C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8" min="6" style="0" width="14"/>
  </cols>
  <sheetData>
    <row r="1" customFormat="false" ht="25.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13" t="s">
        <v>138</v>
      </c>
      <c r="B3" s="13"/>
      <c r="C3" s="13"/>
      <c r="D3" s="13"/>
      <c r="E3" s="13"/>
      <c r="F3" s="13"/>
      <c r="G3" s="13"/>
      <c r="H3" s="13"/>
    </row>
    <row r="4" customFormat="false" ht="23.85" hidden="false" customHeight="true" outlineLevel="0" collapsed="false">
      <c r="A4" s="13" t="s">
        <v>139</v>
      </c>
      <c r="B4" s="13"/>
      <c r="C4" s="13"/>
      <c r="D4" s="13"/>
      <c r="E4" s="13"/>
      <c r="F4" s="13"/>
      <c r="G4" s="13"/>
      <c r="H4" s="13"/>
    </row>
    <row r="5" customFormat="false" ht="23.85" hidden="false" customHeight="true" outlineLevel="0" collapsed="false">
      <c r="A5" s="13" t="s">
        <v>140</v>
      </c>
      <c r="B5" s="13"/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13" t="s">
        <v>141</v>
      </c>
      <c r="B6" s="13"/>
      <c r="C6" s="13"/>
      <c r="D6" s="13"/>
      <c r="E6" s="13"/>
      <c r="F6" s="13"/>
      <c r="G6" s="13"/>
      <c r="H6" s="13"/>
    </row>
    <row r="8" customFormat="false" ht="15" hidden="false" customHeight="false" outlineLevel="0" collapsed="false">
      <c r="A8" s="3" t="s">
        <v>142</v>
      </c>
      <c r="B8" s="3" t="s">
        <v>143</v>
      </c>
      <c r="C8" s="3" t="s">
        <v>144</v>
      </c>
    </row>
    <row r="9" customFormat="false" ht="15" hidden="false" customHeight="false" outlineLevel="0" collapsed="false">
      <c r="A9" s="4" t="s">
        <v>24</v>
      </c>
      <c r="B9" s="4" t="n">
        <v>116</v>
      </c>
      <c r="C9" s="4" t="s">
        <v>145</v>
      </c>
    </row>
    <row r="10" customFormat="false" ht="15" hidden="false" customHeight="false" outlineLevel="0" collapsed="false">
      <c r="A10" s="7" t="s">
        <v>19</v>
      </c>
      <c r="B10" s="7" t="n">
        <v>100</v>
      </c>
      <c r="C10" s="7" t="s">
        <v>146</v>
      </c>
    </row>
    <row r="11" customFormat="false" ht="15" hidden="false" customHeight="false" outlineLevel="0" collapsed="false">
      <c r="A11" s="4" t="s">
        <v>34</v>
      </c>
      <c r="B11" s="4" t="n">
        <v>76</v>
      </c>
      <c r="C11" s="4" t="s">
        <v>146</v>
      </c>
    </row>
    <row r="12" customFormat="false" ht="15" hidden="false" customHeight="false" outlineLevel="0" collapsed="false">
      <c r="A12" s="7" t="s">
        <v>27</v>
      </c>
      <c r="B12" s="7" t="n">
        <v>28</v>
      </c>
      <c r="C12" s="7" t="s">
        <v>146</v>
      </c>
    </row>
    <row r="14" customFormat="false" ht="15" hidden="false" customHeight="false" outlineLevel="0" collapsed="false">
      <c r="A14" s="10" t="s">
        <v>147</v>
      </c>
    </row>
    <row r="15" customFormat="false" ht="15" hidden="false" customHeight="false" outlineLevel="0" collapsed="false">
      <c r="A15" s="3" t="s">
        <v>2</v>
      </c>
      <c r="B15" s="3" t="s">
        <v>3</v>
      </c>
      <c r="C15" s="3" t="s">
        <v>5</v>
      </c>
      <c r="D15" s="3" t="s">
        <v>148</v>
      </c>
      <c r="E15" s="3" t="s">
        <v>149</v>
      </c>
      <c r="F15" s="3" t="s">
        <v>150</v>
      </c>
    </row>
    <row r="16" customFormat="false" ht="15" hidden="false" customHeight="false" outlineLevel="0" collapsed="false">
      <c r="A16" s="7" t="s">
        <v>16</v>
      </c>
      <c r="B16" s="7" t="s">
        <v>17</v>
      </c>
      <c r="C16" s="7" t="s">
        <v>19</v>
      </c>
      <c r="D16" s="7" t="n">
        <v>0</v>
      </c>
      <c r="E16" s="7" t="n">
        <v>0</v>
      </c>
      <c r="F16" s="7" t="n">
        <v>1</v>
      </c>
    </row>
    <row r="17" customFormat="false" ht="15" hidden="false" customHeight="false" outlineLevel="0" collapsed="false">
      <c r="A17" s="4" t="s">
        <v>16</v>
      </c>
      <c r="B17" s="4" t="s">
        <v>20</v>
      </c>
      <c r="C17" s="4" t="s">
        <v>19</v>
      </c>
      <c r="D17" s="4" t="n">
        <v>0</v>
      </c>
      <c r="E17" s="4" t="n">
        <v>0</v>
      </c>
      <c r="F17" s="4" t="n">
        <v>1</v>
      </c>
    </row>
    <row r="18" customFormat="false" ht="15" hidden="false" customHeight="false" outlineLevel="0" collapsed="false">
      <c r="A18" s="7" t="s">
        <v>16</v>
      </c>
      <c r="B18" s="7" t="s">
        <v>21</v>
      </c>
      <c r="C18" s="7" t="s">
        <v>19</v>
      </c>
      <c r="D18" s="7" t="n">
        <v>0</v>
      </c>
      <c r="E18" s="7" t="n">
        <v>0</v>
      </c>
      <c r="F18" s="7" t="n">
        <v>1</v>
      </c>
    </row>
    <row r="19" customFormat="false" ht="15" hidden="false" customHeight="false" outlineLevel="0" collapsed="false">
      <c r="A19" s="4" t="s">
        <v>16</v>
      </c>
      <c r="B19" s="4" t="s">
        <v>22</v>
      </c>
      <c r="C19" s="4" t="s">
        <v>19</v>
      </c>
      <c r="D19" s="4" t="n">
        <v>0</v>
      </c>
      <c r="E19" s="4" t="n">
        <v>0</v>
      </c>
      <c r="F19" s="4" t="n">
        <v>1</v>
      </c>
    </row>
    <row r="20" customFormat="false" ht="15" hidden="false" customHeight="false" outlineLevel="0" collapsed="false">
      <c r="A20" s="7" t="s">
        <v>23</v>
      </c>
      <c r="B20" s="7" t="s">
        <v>17</v>
      </c>
      <c r="C20" s="7" t="s">
        <v>24</v>
      </c>
      <c r="D20" s="7" t="n">
        <v>0</v>
      </c>
      <c r="E20" s="7" t="n">
        <v>0</v>
      </c>
      <c r="F20" s="7" t="n">
        <v>0</v>
      </c>
    </row>
    <row r="21" customFormat="false" ht="15" hidden="false" customHeight="false" outlineLevel="0" collapsed="false">
      <c r="A21" s="4" t="s">
        <v>23</v>
      </c>
      <c r="B21" s="4" t="s">
        <v>20</v>
      </c>
      <c r="C21" s="4" t="s">
        <v>24</v>
      </c>
      <c r="D21" s="4" t="n">
        <v>0</v>
      </c>
      <c r="E21" s="4" t="n">
        <v>0</v>
      </c>
      <c r="F21" s="4" t="n">
        <v>0</v>
      </c>
    </row>
    <row r="22" customFormat="false" ht="15" hidden="false" customHeight="false" outlineLevel="0" collapsed="false">
      <c r="A22" s="7" t="s">
        <v>23</v>
      </c>
      <c r="B22" s="7" t="s">
        <v>21</v>
      </c>
      <c r="C22" s="7" t="s">
        <v>24</v>
      </c>
      <c r="D22" s="7" t="n">
        <v>0</v>
      </c>
      <c r="E22" s="7" t="n">
        <v>0</v>
      </c>
      <c r="F22" s="7" t="n">
        <v>0</v>
      </c>
    </row>
    <row r="23" customFormat="false" ht="15" hidden="false" customHeight="false" outlineLevel="0" collapsed="false">
      <c r="A23" s="4" t="s">
        <v>23</v>
      </c>
      <c r="B23" s="4" t="s">
        <v>22</v>
      </c>
      <c r="C23" s="4" t="s">
        <v>24</v>
      </c>
      <c r="D23" s="4" t="n">
        <v>0</v>
      </c>
      <c r="E23" s="4" t="n">
        <v>0</v>
      </c>
      <c r="F23" s="4" t="n">
        <v>0</v>
      </c>
    </row>
    <row r="24" customFormat="false" ht="15" hidden="false" customHeight="false" outlineLevel="0" collapsed="false">
      <c r="A24" s="7" t="s">
        <v>25</v>
      </c>
      <c r="B24" s="7" t="s">
        <v>17</v>
      </c>
      <c r="C24" s="7" t="s">
        <v>27</v>
      </c>
      <c r="D24" s="7" t="n">
        <v>1</v>
      </c>
      <c r="E24" s="7" t="n">
        <v>0</v>
      </c>
      <c r="F24" s="7" t="n">
        <v>0</v>
      </c>
    </row>
    <row r="25" customFormat="false" ht="15" hidden="false" customHeight="false" outlineLevel="0" collapsed="false">
      <c r="A25" s="4" t="s">
        <v>25</v>
      </c>
      <c r="B25" s="4" t="s">
        <v>20</v>
      </c>
      <c r="C25" s="4" t="s">
        <v>27</v>
      </c>
      <c r="D25" s="4" t="n">
        <v>1</v>
      </c>
      <c r="E25" s="4" t="n">
        <v>0</v>
      </c>
      <c r="F25" s="4" t="n">
        <v>0</v>
      </c>
    </row>
    <row r="26" customFormat="false" ht="15" hidden="false" customHeight="false" outlineLevel="0" collapsed="false">
      <c r="A26" s="7" t="s">
        <v>25</v>
      </c>
      <c r="B26" s="7" t="s">
        <v>21</v>
      </c>
      <c r="C26" s="7" t="s">
        <v>27</v>
      </c>
      <c r="D26" s="7" t="n">
        <v>1</v>
      </c>
      <c r="E26" s="7" t="n">
        <v>0</v>
      </c>
      <c r="F26" s="7" t="n">
        <v>0</v>
      </c>
    </row>
    <row r="27" customFormat="false" ht="15" hidden="false" customHeight="false" outlineLevel="0" collapsed="false">
      <c r="A27" s="4" t="s">
        <v>25</v>
      </c>
      <c r="B27" s="4" t="s">
        <v>22</v>
      </c>
      <c r="C27" s="4" t="s">
        <v>27</v>
      </c>
      <c r="D27" s="4" t="n">
        <v>1</v>
      </c>
      <c r="E27" s="4" t="n">
        <v>0</v>
      </c>
      <c r="F27" s="4" t="n">
        <v>0</v>
      </c>
    </row>
    <row r="28" customFormat="false" ht="15" hidden="false" customHeight="false" outlineLevel="0" collapsed="false">
      <c r="A28" s="7" t="s">
        <v>28</v>
      </c>
      <c r="B28" s="7" t="s">
        <v>17</v>
      </c>
      <c r="C28" s="7" t="s">
        <v>19</v>
      </c>
      <c r="D28" s="7" t="n">
        <v>0</v>
      </c>
      <c r="E28" s="7" t="n">
        <v>0</v>
      </c>
      <c r="F28" s="7" t="n">
        <v>1</v>
      </c>
    </row>
    <row r="29" customFormat="false" ht="15" hidden="false" customHeight="false" outlineLevel="0" collapsed="false">
      <c r="A29" s="4" t="s">
        <v>28</v>
      </c>
      <c r="B29" s="4" t="s">
        <v>20</v>
      </c>
      <c r="C29" s="4" t="s">
        <v>19</v>
      </c>
      <c r="D29" s="4" t="n">
        <v>0</v>
      </c>
      <c r="E29" s="4" t="n">
        <v>0</v>
      </c>
      <c r="F29" s="4" t="n">
        <v>1</v>
      </c>
    </row>
    <row r="30" customFormat="false" ht="15" hidden="false" customHeight="false" outlineLevel="0" collapsed="false">
      <c r="A30" s="7" t="s">
        <v>28</v>
      </c>
      <c r="B30" s="7" t="s">
        <v>21</v>
      </c>
      <c r="C30" s="7" t="s">
        <v>19</v>
      </c>
      <c r="D30" s="7" t="n">
        <v>0</v>
      </c>
      <c r="E30" s="7" t="n">
        <v>0</v>
      </c>
      <c r="F30" s="7" t="n">
        <v>1</v>
      </c>
    </row>
    <row r="31" customFormat="false" ht="15" hidden="false" customHeight="false" outlineLevel="0" collapsed="false">
      <c r="A31" s="4" t="s">
        <v>28</v>
      </c>
      <c r="B31" s="4" t="s">
        <v>22</v>
      </c>
      <c r="C31" s="4" t="s">
        <v>19</v>
      </c>
      <c r="D31" s="4" t="n">
        <v>0</v>
      </c>
      <c r="E31" s="4" t="n">
        <v>0</v>
      </c>
      <c r="F31" s="4" t="n">
        <v>1</v>
      </c>
    </row>
    <row r="32" customFormat="false" ht="15" hidden="false" customHeight="false" outlineLevel="0" collapsed="false">
      <c r="A32" s="7" t="s">
        <v>29</v>
      </c>
      <c r="B32" s="7" t="s">
        <v>17</v>
      </c>
      <c r="C32" s="7" t="s">
        <v>19</v>
      </c>
      <c r="D32" s="7" t="n">
        <v>0</v>
      </c>
      <c r="E32" s="7" t="n">
        <v>0</v>
      </c>
      <c r="F32" s="7" t="n">
        <v>1</v>
      </c>
    </row>
    <row r="33" customFormat="false" ht="15" hidden="false" customHeight="false" outlineLevel="0" collapsed="false">
      <c r="A33" s="4" t="s">
        <v>29</v>
      </c>
      <c r="B33" s="4" t="s">
        <v>20</v>
      </c>
      <c r="C33" s="4" t="s">
        <v>19</v>
      </c>
      <c r="D33" s="4" t="n">
        <v>0</v>
      </c>
      <c r="E33" s="4" t="n">
        <v>0</v>
      </c>
      <c r="F33" s="4" t="n">
        <v>1</v>
      </c>
    </row>
    <row r="34" customFormat="false" ht="15" hidden="false" customHeight="false" outlineLevel="0" collapsed="false">
      <c r="A34" s="7" t="s">
        <v>29</v>
      </c>
      <c r="B34" s="7" t="s">
        <v>21</v>
      </c>
      <c r="C34" s="7" t="s">
        <v>19</v>
      </c>
      <c r="D34" s="7" t="n">
        <v>0</v>
      </c>
      <c r="E34" s="7" t="n">
        <v>0</v>
      </c>
      <c r="F34" s="7" t="n">
        <v>1</v>
      </c>
    </row>
    <row r="35" customFormat="false" ht="15" hidden="false" customHeight="false" outlineLevel="0" collapsed="false">
      <c r="A35" s="4" t="s">
        <v>29</v>
      </c>
      <c r="B35" s="4" t="s">
        <v>22</v>
      </c>
      <c r="C35" s="4" t="s">
        <v>19</v>
      </c>
      <c r="D35" s="4" t="n">
        <v>0</v>
      </c>
      <c r="E35" s="4" t="n">
        <v>0</v>
      </c>
      <c r="F35" s="4" t="n">
        <v>1</v>
      </c>
    </row>
  </sheetData>
  <mergeCells count="5">
    <mergeCell ref="A1:H1"/>
    <mergeCell ref="A3:H3"/>
    <mergeCell ref="A4:H4"/>
    <mergeCell ref="A5:H5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5"/>
  </cols>
  <sheetData>
    <row r="1" customFormat="false" ht="25.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0" t="s">
        <v>152</v>
      </c>
    </row>
    <row r="4" customFormat="false" ht="15" hidden="false" customHeight="false" outlineLevel="0" collapsed="false">
      <c r="A4" s="4" t="s">
        <v>153</v>
      </c>
      <c r="B4" s="14" t="n">
        <v>320</v>
      </c>
    </row>
    <row r="5" customFormat="false" ht="15" hidden="false" customHeight="false" outlineLevel="0" collapsed="false">
      <c r="A5" s="4" t="s">
        <v>154</v>
      </c>
      <c r="B5" s="14" t="n">
        <v>0.7363</v>
      </c>
    </row>
    <row r="6" customFormat="false" ht="15" hidden="false" customHeight="false" outlineLevel="0" collapsed="false">
      <c r="A6" s="4" t="s">
        <v>155</v>
      </c>
      <c r="B6" s="14" t="n">
        <v>0.7355</v>
      </c>
    </row>
    <row r="7" customFormat="false" ht="15" hidden="false" customHeight="false" outlineLevel="0" collapsed="false">
      <c r="A7" s="4" t="s">
        <v>156</v>
      </c>
      <c r="B7" s="14" t="n">
        <v>887.8488</v>
      </c>
    </row>
    <row r="8" customFormat="false" ht="15" hidden="false" customHeight="false" outlineLevel="0" collapsed="false">
      <c r="A8" s="4" t="s">
        <v>157</v>
      </c>
      <c r="B8" s="14" t="s">
        <v>158</v>
      </c>
    </row>
    <row r="9" customFormat="false" ht="15" hidden="false" customHeight="false" outlineLevel="0" collapsed="false">
      <c r="A9" s="4" t="s">
        <v>159</v>
      </c>
      <c r="B9" s="14" t="n">
        <v>53373.74</v>
      </c>
    </row>
    <row r="10" customFormat="false" ht="15" hidden="false" customHeight="false" outlineLevel="0" collapsed="false">
      <c r="A10" s="4" t="s">
        <v>160</v>
      </c>
      <c r="B10" s="14" t="n">
        <v>7876.56</v>
      </c>
    </row>
    <row r="12" customFormat="false" ht="15" hidden="false" customHeight="false" outlineLevel="0" collapsed="false">
      <c r="A12" s="10" t="s">
        <v>161</v>
      </c>
    </row>
    <row r="13" customFormat="false" ht="15" hidden="false" customHeight="false" outlineLevel="0" collapsed="false">
      <c r="A13" s="3" t="s">
        <v>162</v>
      </c>
      <c r="B13" s="3" t="s">
        <v>163</v>
      </c>
      <c r="C13" s="3" t="s">
        <v>164</v>
      </c>
      <c r="D13" s="3" t="s">
        <v>165</v>
      </c>
      <c r="E13" s="3" t="s">
        <v>166</v>
      </c>
      <c r="F13" s="3" t="s">
        <v>167</v>
      </c>
      <c r="G13" s="3" t="s">
        <v>168</v>
      </c>
    </row>
    <row r="14" customFormat="false" ht="15" hidden="false" customHeight="false" outlineLevel="0" collapsed="false">
      <c r="A14" s="4" t="s">
        <v>169</v>
      </c>
      <c r="B14" s="15" t="n">
        <v>446410.582934</v>
      </c>
      <c r="C14" s="15" t="n">
        <v>8407.738263</v>
      </c>
      <c r="D14" s="4" t="n">
        <v>53.0952</v>
      </c>
      <c r="E14" s="16" t="n">
        <v>0</v>
      </c>
      <c r="F14" s="15" t="n">
        <v>429868.761911</v>
      </c>
      <c r="G14" s="15" t="n">
        <v>462952.403957</v>
      </c>
    </row>
    <row r="15" customFormat="false" ht="15" hidden="false" customHeight="false" outlineLevel="0" collapsed="false">
      <c r="A15" s="4" t="s">
        <v>7</v>
      </c>
      <c r="B15" s="15" t="n">
        <v>35.678031</v>
      </c>
      <c r="C15" s="15" t="n">
        <v>1.197378</v>
      </c>
      <c r="D15" s="4" t="n">
        <v>29.7968</v>
      </c>
      <c r="E15" s="16" t="n">
        <v>0</v>
      </c>
      <c r="F15" s="15" t="n">
        <v>33.322247</v>
      </c>
      <c r="G15" s="15" t="n">
        <v>38.033815</v>
      </c>
    </row>
    <row r="16" customFormat="false" ht="15" hidden="false" customHeight="false" outlineLevel="0" collapsed="false">
      <c r="A16" s="17" t="s">
        <v>170</v>
      </c>
      <c r="B16" s="17"/>
      <c r="C16" s="17"/>
      <c r="D16" s="17"/>
      <c r="E16" s="17"/>
      <c r="F16" s="17"/>
      <c r="G16" s="17"/>
    </row>
    <row r="18" customFormat="false" ht="15" hidden="false" customHeight="false" outlineLevel="0" collapsed="false">
      <c r="A18" s="10" t="s">
        <v>171</v>
      </c>
    </row>
    <row r="19" customFormat="false" ht="30" hidden="false" customHeight="true" outlineLevel="0" collapsed="false">
      <c r="A19" s="13" t="s">
        <v>172</v>
      </c>
      <c r="B19" s="13"/>
      <c r="C19" s="13"/>
      <c r="D19" s="13"/>
      <c r="E19" s="13"/>
      <c r="F19" s="13"/>
      <c r="G19" s="13"/>
    </row>
    <row r="20" customFormat="false" ht="30" hidden="false" customHeight="true" outlineLevel="0" collapsed="false">
      <c r="A20" s="13" t="s">
        <v>173</v>
      </c>
      <c r="B20" s="13"/>
      <c r="C20" s="13"/>
      <c r="D20" s="13"/>
      <c r="E20" s="13"/>
      <c r="F20" s="13"/>
      <c r="G20" s="13"/>
    </row>
    <row r="21" customFormat="false" ht="30" hidden="false" customHeight="true" outlineLevel="0" collapsed="false">
      <c r="A21" s="13" t="s">
        <v>174</v>
      </c>
      <c r="B21" s="13"/>
      <c r="C21" s="13"/>
      <c r="D21" s="13"/>
      <c r="E21" s="13"/>
      <c r="F21" s="13"/>
      <c r="G21" s="13"/>
    </row>
    <row r="22" customFormat="false" ht="30" hidden="false" customHeight="true" outlineLevel="0" collapsed="false">
      <c r="A22" s="13" t="s">
        <v>175</v>
      </c>
      <c r="B22" s="13"/>
      <c r="C22" s="13"/>
      <c r="D22" s="13"/>
      <c r="E22" s="13"/>
      <c r="F22" s="13"/>
      <c r="G22" s="13"/>
    </row>
  </sheetData>
  <mergeCells count="6">
    <mergeCell ref="A1:G1"/>
    <mergeCell ref="A16:G16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5"/>
  </cols>
  <sheetData>
    <row r="1" customFormat="false" ht="25.5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0" t="s">
        <v>152</v>
      </c>
    </row>
    <row r="4" customFormat="false" ht="15" hidden="false" customHeight="false" outlineLevel="0" collapsed="false">
      <c r="A4" s="4" t="s">
        <v>153</v>
      </c>
      <c r="B4" s="14" t="n">
        <v>320</v>
      </c>
    </row>
    <row r="5" customFormat="false" ht="15" hidden="false" customHeight="false" outlineLevel="0" collapsed="false">
      <c r="A5" s="4" t="s">
        <v>154</v>
      </c>
      <c r="B5" s="14" t="n">
        <v>0.1672</v>
      </c>
    </row>
    <row r="6" customFormat="false" ht="15" hidden="false" customHeight="false" outlineLevel="0" collapsed="false">
      <c r="A6" s="4" t="s">
        <v>155</v>
      </c>
      <c r="B6" s="14" t="n">
        <v>0.1646</v>
      </c>
    </row>
    <row r="7" customFormat="false" ht="15" hidden="false" customHeight="false" outlineLevel="0" collapsed="false">
      <c r="A7" s="4" t="s">
        <v>156</v>
      </c>
      <c r="B7" s="14" t="n">
        <v>63.8649</v>
      </c>
    </row>
    <row r="8" customFormat="false" ht="15" hidden="false" customHeight="false" outlineLevel="0" collapsed="false">
      <c r="A8" s="4" t="s">
        <v>157</v>
      </c>
      <c r="B8" s="14" t="s">
        <v>177</v>
      </c>
    </row>
    <row r="9" customFormat="false" ht="15" hidden="false" customHeight="false" outlineLevel="0" collapsed="false">
      <c r="A9" s="4" t="s">
        <v>159</v>
      </c>
      <c r="B9" s="14" t="n">
        <v>94846.03</v>
      </c>
    </row>
    <row r="10" customFormat="false" ht="15" hidden="false" customHeight="false" outlineLevel="0" collapsed="false">
      <c r="A10" s="4" t="s">
        <v>160</v>
      </c>
      <c r="B10" s="14" t="n">
        <v>8244.52</v>
      </c>
    </row>
    <row r="12" customFormat="false" ht="15" hidden="false" customHeight="false" outlineLevel="0" collapsed="false">
      <c r="A12" s="10" t="s">
        <v>161</v>
      </c>
    </row>
    <row r="13" customFormat="false" ht="15" hidden="false" customHeight="false" outlineLevel="0" collapsed="false">
      <c r="A13" s="3" t="s">
        <v>162</v>
      </c>
      <c r="B13" s="3" t="s">
        <v>163</v>
      </c>
      <c r="C13" s="3" t="s">
        <v>164</v>
      </c>
      <c r="D13" s="3" t="s">
        <v>165</v>
      </c>
      <c r="E13" s="3" t="s">
        <v>166</v>
      </c>
      <c r="F13" s="3" t="s">
        <v>167</v>
      </c>
      <c r="G13" s="3" t="s">
        <v>168</v>
      </c>
    </row>
    <row r="14" customFormat="false" ht="15" hidden="false" customHeight="false" outlineLevel="0" collapsed="false">
      <c r="A14" s="4" t="s">
        <v>169</v>
      </c>
      <c r="B14" s="15" t="n">
        <v>560777.345449</v>
      </c>
      <c r="C14" s="15" t="n">
        <v>15906.905953</v>
      </c>
      <c r="D14" s="4" t="n">
        <v>35.2537</v>
      </c>
      <c r="E14" s="16" t="n">
        <v>0</v>
      </c>
      <c r="F14" s="15" t="n">
        <v>529481.272348</v>
      </c>
      <c r="G14" s="15" t="n">
        <v>592073.418551</v>
      </c>
    </row>
    <row r="15" customFormat="false" ht="15" hidden="false" customHeight="false" outlineLevel="0" collapsed="false">
      <c r="A15" s="4" t="s">
        <v>6</v>
      </c>
      <c r="B15" s="15" t="n">
        <v>2.129575</v>
      </c>
      <c r="C15" s="15" t="n">
        <v>0.266478</v>
      </c>
      <c r="D15" s="4" t="n">
        <v>7.9916</v>
      </c>
      <c r="E15" s="16" t="n">
        <v>0</v>
      </c>
      <c r="F15" s="15" t="n">
        <v>1.605292</v>
      </c>
      <c r="G15" s="15" t="n">
        <v>2.653859</v>
      </c>
    </row>
    <row r="16" customFormat="false" ht="15" hidden="false" customHeight="false" outlineLevel="0" collapsed="false">
      <c r="A16" s="17" t="s">
        <v>170</v>
      </c>
      <c r="B16" s="17"/>
      <c r="C16" s="17"/>
      <c r="D16" s="17"/>
      <c r="E16" s="17"/>
      <c r="F16" s="17"/>
      <c r="G16" s="17"/>
    </row>
    <row r="18" customFormat="false" ht="15" hidden="false" customHeight="false" outlineLevel="0" collapsed="false">
      <c r="A18" s="10" t="s">
        <v>171</v>
      </c>
    </row>
    <row r="19" customFormat="false" ht="30" hidden="false" customHeight="true" outlineLevel="0" collapsed="false">
      <c r="A19" s="13" t="s">
        <v>178</v>
      </c>
      <c r="B19" s="13"/>
      <c r="C19" s="13"/>
      <c r="D19" s="13"/>
      <c r="E19" s="13"/>
      <c r="F19" s="13"/>
      <c r="G19" s="13"/>
    </row>
    <row r="20" customFormat="false" ht="30" hidden="false" customHeight="true" outlineLevel="0" collapsed="false">
      <c r="A20" s="13" t="s">
        <v>179</v>
      </c>
      <c r="B20" s="13"/>
      <c r="C20" s="13"/>
      <c r="D20" s="13"/>
      <c r="E20" s="13"/>
      <c r="F20" s="13"/>
      <c r="G20" s="13"/>
    </row>
    <row r="21" customFormat="false" ht="30" hidden="false" customHeight="true" outlineLevel="0" collapsed="false">
      <c r="A21" s="13" t="s">
        <v>180</v>
      </c>
      <c r="B21" s="13"/>
      <c r="C21" s="13"/>
      <c r="D21" s="13"/>
      <c r="E21" s="13"/>
      <c r="F21" s="13"/>
      <c r="G21" s="13"/>
    </row>
    <row r="22" customFormat="false" ht="30" hidden="false" customHeight="true" outlineLevel="0" collapsed="false">
      <c r="A22" s="13" t="s">
        <v>181</v>
      </c>
      <c r="B22" s="13"/>
      <c r="C22" s="13"/>
      <c r="D22" s="13"/>
      <c r="E22" s="13"/>
      <c r="F22" s="13"/>
      <c r="G22" s="13"/>
    </row>
  </sheetData>
  <mergeCells count="6">
    <mergeCell ref="A1:G1"/>
    <mergeCell ref="A16:G16"/>
    <mergeCell ref="A19:G19"/>
    <mergeCell ref="A20:G20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5"/>
  </cols>
  <sheetData>
    <row r="1" customFormat="false" ht="25.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0" t="s">
        <v>152</v>
      </c>
    </row>
    <row r="4" customFormat="false" ht="15" hidden="false" customHeight="false" outlineLevel="0" collapsed="false">
      <c r="A4" s="4" t="s">
        <v>153</v>
      </c>
      <c r="B4" s="14" t="n">
        <v>320</v>
      </c>
    </row>
    <row r="5" customFormat="false" ht="15" hidden="false" customHeight="false" outlineLevel="0" collapsed="false">
      <c r="A5" s="4" t="s">
        <v>154</v>
      </c>
      <c r="B5" s="14" t="n">
        <v>0.8214</v>
      </c>
    </row>
    <row r="6" customFormat="false" ht="15" hidden="false" customHeight="false" outlineLevel="0" collapsed="false">
      <c r="A6" s="4" t="s">
        <v>155</v>
      </c>
      <c r="B6" s="14" t="n">
        <v>0.8174</v>
      </c>
    </row>
    <row r="7" customFormat="false" ht="15" hidden="false" customHeight="false" outlineLevel="0" collapsed="false">
      <c r="A7" s="4" t="s">
        <v>156</v>
      </c>
      <c r="B7" s="14" t="n">
        <v>204.9779</v>
      </c>
    </row>
    <row r="8" customFormat="false" ht="15" hidden="false" customHeight="false" outlineLevel="0" collapsed="false">
      <c r="A8" s="4" t="s">
        <v>157</v>
      </c>
      <c r="B8" s="14" t="s">
        <v>183</v>
      </c>
    </row>
    <row r="9" customFormat="false" ht="15" hidden="false" customHeight="false" outlineLevel="0" collapsed="false">
      <c r="A9" s="4" t="s">
        <v>159</v>
      </c>
      <c r="B9" s="14" t="n">
        <v>44345.22</v>
      </c>
    </row>
    <row r="10" customFormat="false" ht="15" hidden="false" customHeight="false" outlineLevel="0" collapsed="false">
      <c r="A10" s="4" t="s">
        <v>160</v>
      </c>
      <c r="B10" s="14" t="n">
        <v>7763.87</v>
      </c>
    </row>
    <row r="12" customFormat="false" ht="15" hidden="false" customHeight="false" outlineLevel="0" collapsed="false">
      <c r="A12" s="10" t="s">
        <v>161</v>
      </c>
    </row>
    <row r="13" customFormat="false" ht="15" hidden="false" customHeight="false" outlineLevel="0" collapsed="false">
      <c r="A13" s="3" t="s">
        <v>162</v>
      </c>
      <c r="B13" s="3" t="s">
        <v>163</v>
      </c>
      <c r="C13" s="3" t="s">
        <v>164</v>
      </c>
      <c r="D13" s="3" t="s">
        <v>165</v>
      </c>
      <c r="E13" s="3" t="s">
        <v>166</v>
      </c>
      <c r="F13" s="3" t="s">
        <v>167</v>
      </c>
      <c r="G13" s="3" t="s">
        <v>168</v>
      </c>
    </row>
    <row r="14" customFormat="false" ht="15" hidden="false" customHeight="false" outlineLevel="0" collapsed="false">
      <c r="A14" s="4" t="s">
        <v>184</v>
      </c>
      <c r="B14" s="15" t="n">
        <v>136913.646907</v>
      </c>
      <c r="C14" s="15" t="n">
        <v>43429.510102</v>
      </c>
      <c r="D14" s="4" t="n">
        <v>3.1525</v>
      </c>
      <c r="E14" s="16" t="n">
        <v>0.001776</v>
      </c>
      <c r="F14" s="15" t="n">
        <v>51461.894946</v>
      </c>
      <c r="G14" s="15" t="n">
        <v>222365.398867</v>
      </c>
    </row>
    <row r="15" customFormat="false" ht="15" hidden="false" customHeight="false" outlineLevel="0" collapsed="false">
      <c r="A15" s="4" t="s">
        <v>185</v>
      </c>
      <c r="B15" s="15" t="n">
        <v>33.664405</v>
      </c>
      <c r="C15" s="15" t="n">
        <v>1.030834</v>
      </c>
      <c r="D15" s="4" t="n">
        <v>32.6574</v>
      </c>
      <c r="E15" s="16" t="n">
        <v>0</v>
      </c>
      <c r="F15" s="15" t="n">
        <v>31.636139</v>
      </c>
      <c r="G15" s="15" t="n">
        <v>35.692671</v>
      </c>
    </row>
    <row r="16" customFormat="false" ht="15" hidden="false" customHeight="false" outlineLevel="0" collapsed="false">
      <c r="A16" s="4" t="s">
        <v>186</v>
      </c>
      <c r="B16" s="15" t="n">
        <v>1.165493</v>
      </c>
      <c r="C16" s="15" t="n">
        <v>0.128487</v>
      </c>
      <c r="D16" s="4" t="n">
        <v>9.0709</v>
      </c>
      <c r="E16" s="16" t="n">
        <v>0</v>
      </c>
      <c r="F16" s="15" t="n">
        <v>0.912682</v>
      </c>
      <c r="G16" s="15" t="n">
        <v>1.418304</v>
      </c>
    </row>
    <row r="17" customFormat="false" ht="15" hidden="false" customHeight="false" outlineLevel="0" collapsed="false">
      <c r="A17" s="4" t="s">
        <v>187</v>
      </c>
      <c r="B17" s="15" t="n">
        <v>-58920.806937</v>
      </c>
      <c r="C17" s="15" t="n">
        <v>36743.020845</v>
      </c>
      <c r="D17" s="4" t="n">
        <v>-1.6036</v>
      </c>
      <c r="E17" s="18" t="n">
        <v>0.109816</v>
      </c>
      <c r="F17" s="15" t="n">
        <v>-131216.246055</v>
      </c>
      <c r="G17" s="15" t="n">
        <v>13374.632181</v>
      </c>
    </row>
    <row r="18" customFormat="false" ht="15" hidden="false" customHeight="false" outlineLevel="0" collapsed="false">
      <c r="A18" s="4" t="s">
        <v>188</v>
      </c>
      <c r="B18" s="15" t="n">
        <v>3001.195705</v>
      </c>
      <c r="C18" s="15" t="n">
        <v>466.597554</v>
      </c>
      <c r="D18" s="4" t="n">
        <v>6.4321</v>
      </c>
      <c r="E18" s="16" t="n">
        <v>0</v>
      </c>
      <c r="F18" s="15" t="n">
        <v>2083.119992</v>
      </c>
      <c r="G18" s="15" t="n">
        <v>3919.271419</v>
      </c>
    </row>
    <row r="19" customFormat="false" ht="15" hidden="false" customHeight="false" outlineLevel="0" collapsed="false">
      <c r="A19" s="4" t="s">
        <v>189</v>
      </c>
      <c r="B19" s="15" t="n">
        <v>21905.714552</v>
      </c>
      <c r="C19" s="15" t="n">
        <v>9402.087572</v>
      </c>
      <c r="D19" s="4" t="n">
        <v>2.3299</v>
      </c>
      <c r="E19" s="16" t="n">
        <v>0.02045</v>
      </c>
      <c r="F19" s="15" t="n">
        <v>3406.199977</v>
      </c>
      <c r="G19" s="15" t="n">
        <v>40405.229127</v>
      </c>
    </row>
    <row r="20" customFormat="false" ht="15" hidden="false" customHeight="false" outlineLevel="0" collapsed="false">
      <c r="A20" s="4" t="s">
        <v>190</v>
      </c>
      <c r="B20" s="15" t="n">
        <v>11433.463736</v>
      </c>
      <c r="C20" s="15" t="n">
        <v>6578.077184</v>
      </c>
      <c r="D20" s="4" t="n">
        <v>1.7381</v>
      </c>
      <c r="E20" s="18" t="n">
        <v>0.083177</v>
      </c>
      <c r="F20" s="15" t="n">
        <v>-1509.53789</v>
      </c>
      <c r="G20" s="15" t="n">
        <v>24376.465363</v>
      </c>
    </row>
    <row r="21" customFormat="false" ht="15" hidden="false" customHeight="false" outlineLevel="0" collapsed="false">
      <c r="A21" s="4" t="s">
        <v>191</v>
      </c>
      <c r="B21" s="15" t="n">
        <v>-16575.847716</v>
      </c>
      <c r="C21" s="15" t="n">
        <v>6085.626684</v>
      </c>
      <c r="D21" s="4" t="n">
        <v>-2.7238</v>
      </c>
      <c r="E21" s="16" t="n">
        <v>0.006818</v>
      </c>
      <c r="F21" s="15" t="n">
        <v>-28549.905464</v>
      </c>
      <c r="G21" s="15" t="n">
        <v>-4601.789969</v>
      </c>
    </row>
    <row r="22" customFormat="false" ht="15" hidden="false" customHeight="false" outlineLevel="0" collapsed="false">
      <c r="A22" s="17" t="s">
        <v>170</v>
      </c>
      <c r="B22" s="17"/>
      <c r="C22" s="17"/>
      <c r="D22" s="17"/>
      <c r="E22" s="17"/>
      <c r="F22" s="17"/>
      <c r="G22" s="17"/>
    </row>
    <row r="24" customFormat="false" ht="15" hidden="false" customHeight="false" outlineLevel="0" collapsed="false">
      <c r="A24" s="10" t="s">
        <v>171</v>
      </c>
    </row>
    <row r="25" customFormat="false" ht="30" hidden="false" customHeight="true" outlineLevel="0" collapsed="false">
      <c r="A25" s="13" t="s">
        <v>192</v>
      </c>
      <c r="B25" s="13"/>
      <c r="C25" s="13"/>
      <c r="D25" s="13"/>
      <c r="E25" s="13"/>
      <c r="F25" s="13"/>
      <c r="G25" s="13"/>
    </row>
    <row r="26" customFormat="false" ht="30" hidden="false" customHeight="true" outlineLevel="0" collapsed="false">
      <c r="A26" s="13" t="s">
        <v>193</v>
      </c>
      <c r="B26" s="13"/>
      <c r="C26" s="13"/>
      <c r="D26" s="13"/>
      <c r="E26" s="13"/>
      <c r="F26" s="13"/>
      <c r="G26" s="13"/>
    </row>
    <row r="27" customFormat="false" ht="30" hidden="false" customHeight="true" outlineLevel="0" collapsed="false">
      <c r="A27" s="13" t="s">
        <v>194</v>
      </c>
      <c r="B27" s="13"/>
      <c r="C27" s="13"/>
      <c r="D27" s="13"/>
      <c r="E27" s="13"/>
      <c r="F27" s="13"/>
      <c r="G27" s="13"/>
    </row>
    <row r="28" customFormat="false" ht="30" hidden="false" customHeight="true" outlineLevel="0" collapsed="false">
      <c r="A28" s="13" t="s">
        <v>195</v>
      </c>
      <c r="B28" s="13"/>
      <c r="C28" s="13"/>
      <c r="D28" s="13"/>
      <c r="E28" s="13"/>
      <c r="F28" s="13"/>
      <c r="G28" s="13"/>
    </row>
    <row r="29" customFormat="false" ht="30" hidden="false" customHeight="true" outlineLevel="0" collapsed="false">
      <c r="A29" s="13" t="s">
        <v>196</v>
      </c>
      <c r="B29" s="13"/>
      <c r="C29" s="13"/>
      <c r="D29" s="13"/>
      <c r="E29" s="13"/>
      <c r="F29" s="13"/>
      <c r="G29" s="13"/>
    </row>
  </sheetData>
  <mergeCells count="7">
    <mergeCell ref="A1:G1"/>
    <mergeCell ref="A22:G22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11"/>
  </cols>
  <sheetData>
    <row r="1" customFormat="false" ht="25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7</v>
      </c>
      <c r="F4" s="3" t="s">
        <v>6</v>
      </c>
      <c r="G4" s="3" t="s">
        <v>8</v>
      </c>
      <c r="H4" s="3" t="s">
        <v>10</v>
      </c>
      <c r="I4" s="3" t="s">
        <v>148</v>
      </c>
      <c r="J4" s="3" t="s">
        <v>149</v>
      </c>
      <c r="K4" s="3" t="s">
        <v>150</v>
      </c>
      <c r="L4" s="3" t="s">
        <v>199</v>
      </c>
      <c r="M4" s="3" t="s">
        <v>200</v>
      </c>
      <c r="N4" s="3" t="s">
        <v>201</v>
      </c>
      <c r="O4" s="3" t="s">
        <v>202</v>
      </c>
      <c r="P4" s="3" t="s">
        <v>203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n">
        <v>8302</v>
      </c>
      <c r="F5" s="5" t="n">
        <v>70389.11</v>
      </c>
      <c r="G5" s="19" t="n">
        <v>0.042</v>
      </c>
      <c r="H5" s="4" t="n">
        <v>75</v>
      </c>
      <c r="I5" s="4" t="n">
        <v>0</v>
      </c>
      <c r="J5" s="4" t="n">
        <v>0</v>
      </c>
      <c r="K5" s="4" t="n">
        <v>1</v>
      </c>
      <c r="L5" s="5" t="n">
        <v>658832.62</v>
      </c>
      <c r="M5" s="5" t="n">
        <f aca="false">'6. Multiple Regression'!$B$14+'6. Multiple Regression'!$B$15*E5+'6. Multiple Regression'!$B$16*F5+'6. Multiple Regression'!$B$17*G5+'6. Multiple Regression'!$B$18*H5+'6. Multiple Regression'!$B$19*I5+'6. Multiple Regression'!$B$20*J5+'6. Multiple Regression'!$B$21*K5</f>
        <v>704472.708465876</v>
      </c>
      <c r="N5" s="5" t="n">
        <f aca="false">L5-M5</f>
        <v>-45640.0884658759</v>
      </c>
      <c r="O5" s="5" t="n">
        <f aca="false">ABS(N5)</f>
        <v>45640.0884658759</v>
      </c>
      <c r="P5" s="20" t="n">
        <f aca="false">N5/L5</f>
        <v>-0.0692741784186034</v>
      </c>
    </row>
    <row r="6" customFormat="false" ht="15" hidden="false" customHeight="false" outlineLevel="0" collapsed="false">
      <c r="A6" s="7" t="s">
        <v>16</v>
      </c>
      <c r="B6" s="7" t="s">
        <v>20</v>
      </c>
      <c r="C6" s="7" t="s">
        <v>18</v>
      </c>
      <c r="D6" s="7" t="s">
        <v>19</v>
      </c>
      <c r="E6" s="7" t="n">
        <v>8487</v>
      </c>
      <c r="F6" s="8" t="n">
        <v>43827.89</v>
      </c>
      <c r="G6" s="21" t="n">
        <v>0.168</v>
      </c>
      <c r="H6" s="7" t="n">
        <v>84.4</v>
      </c>
      <c r="I6" s="7" t="n">
        <v>0</v>
      </c>
      <c r="J6" s="7" t="n">
        <v>0</v>
      </c>
      <c r="K6" s="7" t="n">
        <v>1</v>
      </c>
      <c r="L6" s="8" t="n">
        <v>634436</v>
      </c>
      <c r="M6" s="8" t="n">
        <f aca="false">'6. Multiple Regression'!$B$14+'6. Multiple Regression'!$B$15*E6+'6. Multiple Regression'!$B$16*F6+'6. Multiple Regression'!$B$17*G6+'6. Multiple Regression'!$B$18*H6+'6. Multiple Regression'!$B$19*I6+'6. Multiple Regression'!$B$20*J6+'6. Multiple Regression'!$B$21*K6</f>
        <v>700530.925362354</v>
      </c>
      <c r="N6" s="8" t="n">
        <f aca="false">L6-M6</f>
        <v>-66094.925362354</v>
      </c>
      <c r="O6" s="8" t="n">
        <f aca="false">ABS(N6)</f>
        <v>66094.925362354</v>
      </c>
      <c r="P6" s="22" t="n">
        <f aca="false">N6/L6</f>
        <v>-0.104179027297244</v>
      </c>
    </row>
    <row r="7" customFormat="false" ht="15" hidden="false" customHeight="false" outlineLevel="0" collapsed="false">
      <c r="A7" s="4" t="s">
        <v>16</v>
      </c>
      <c r="B7" s="4" t="s">
        <v>21</v>
      </c>
      <c r="C7" s="4" t="s">
        <v>18</v>
      </c>
      <c r="D7" s="4" t="s">
        <v>19</v>
      </c>
      <c r="E7" s="4" t="n">
        <v>9113</v>
      </c>
      <c r="F7" s="5" t="n">
        <v>59921.75</v>
      </c>
      <c r="G7" s="19" t="n">
        <v>0.133</v>
      </c>
      <c r="H7" s="4" t="n">
        <v>88</v>
      </c>
      <c r="I7" s="4" t="n">
        <v>0</v>
      </c>
      <c r="J7" s="4" t="n">
        <v>0</v>
      </c>
      <c r="K7" s="4" t="n">
        <v>1</v>
      </c>
      <c r="L7" s="5" t="n">
        <v>678722.06</v>
      </c>
      <c r="M7" s="5" t="n">
        <f aca="false">'6. Multiple Regression'!$B$14+'6. Multiple Regression'!$B$15*E7+'6. Multiple Regression'!$B$16*F7+'6. Multiple Regression'!$B$17*G7+'6. Multiple Regression'!$B$18*H7+'6. Multiple Regression'!$B$19*I7+'6. Multiple Regression'!$B$20*J7+'6. Multiple Regression'!$B$21*K7</f>
        <v>753228.656846129</v>
      </c>
      <c r="N7" s="5" t="n">
        <f aca="false">L7-M7</f>
        <v>-74506.5968461289</v>
      </c>
      <c r="O7" s="5" t="n">
        <f aca="false">ABS(N7)</f>
        <v>74506.5968461289</v>
      </c>
      <c r="P7" s="20" t="n">
        <f aca="false">N7/L7</f>
        <v>-0.109774827189393</v>
      </c>
    </row>
    <row r="8" customFormat="false" ht="15" hidden="false" customHeight="false" outlineLevel="0" collapsed="false">
      <c r="A8" s="7" t="s">
        <v>16</v>
      </c>
      <c r="B8" s="7" t="s">
        <v>22</v>
      </c>
      <c r="C8" s="7" t="s">
        <v>18</v>
      </c>
      <c r="D8" s="7" t="s">
        <v>19</v>
      </c>
      <c r="E8" s="7" t="n">
        <v>9431</v>
      </c>
      <c r="F8" s="8" t="n">
        <v>56856.63</v>
      </c>
      <c r="G8" s="21" t="n">
        <v>0.142</v>
      </c>
      <c r="H8" s="7" t="n">
        <v>86.9</v>
      </c>
      <c r="I8" s="7" t="n">
        <v>0</v>
      </c>
      <c r="J8" s="7" t="n">
        <v>0</v>
      </c>
      <c r="K8" s="7" t="n">
        <v>1</v>
      </c>
      <c r="L8" s="8" t="n">
        <v>658920.3</v>
      </c>
      <c r="M8" s="8" t="n">
        <f aca="false">'6. Multiple Regression'!$B$14+'6. Multiple Regression'!$B$15*E8+'6. Multiple Regression'!$B$16*F8+'6. Multiple Regression'!$B$17*G8+'6. Multiple Regression'!$B$18*H8+'6. Multiple Regression'!$B$19*I8+'6. Multiple Regression'!$B$20*J8+'6. Multiple Regression'!$B$21*K8</f>
        <v>756529.959194036</v>
      </c>
      <c r="N8" s="8" t="n">
        <f aca="false">L8-M8</f>
        <v>-97609.6591940359</v>
      </c>
      <c r="O8" s="8" t="n">
        <f aca="false">ABS(N8)</f>
        <v>97609.6591940359</v>
      </c>
      <c r="P8" s="22" t="n">
        <f aca="false">N8/L8</f>
        <v>-0.148135759657178</v>
      </c>
    </row>
    <row r="9" customFormat="false" ht="15" hidden="false" customHeight="false" outlineLevel="0" collapsed="false">
      <c r="A9" s="4" t="s">
        <v>23</v>
      </c>
      <c r="B9" s="4" t="s">
        <v>17</v>
      </c>
      <c r="C9" s="4" t="s">
        <v>18</v>
      </c>
      <c r="D9" s="4" t="s">
        <v>24</v>
      </c>
      <c r="E9" s="4" t="n">
        <v>9545</v>
      </c>
      <c r="F9" s="5" t="n">
        <v>48412.64</v>
      </c>
      <c r="G9" s="19" t="n">
        <v>0.231</v>
      </c>
      <c r="H9" s="4" t="n">
        <v>97.6</v>
      </c>
      <c r="I9" s="4" t="n">
        <v>0</v>
      </c>
      <c r="J9" s="4" t="n">
        <v>0</v>
      </c>
      <c r="K9" s="4" t="n">
        <v>0</v>
      </c>
      <c r="L9" s="5" t="n">
        <v>741341.44</v>
      </c>
      <c r="M9" s="5" t="n">
        <f aca="false">'6. Multiple Regression'!$B$14+'6. Multiple Regression'!$B$15*E9+'6. Multiple Regression'!$B$16*F9+'6. Multiple Regression'!$B$17*G9+'6. Multiple Regression'!$B$18*H9+'6. Multiple Regression'!$B$19*I9+'6. Multiple Regression'!$B$20*J9+'6. Multiple Regression'!$B$21*K9</f>
        <v>793970.980069073</v>
      </c>
      <c r="N9" s="5" t="n">
        <f aca="false">L9-M9</f>
        <v>-52629.5400690731</v>
      </c>
      <c r="O9" s="5" t="n">
        <f aca="false">ABS(N9)</f>
        <v>52629.5400690731</v>
      </c>
      <c r="P9" s="20" t="n">
        <f aca="false">N9/L9</f>
        <v>-0.0709923083067812</v>
      </c>
    </row>
    <row r="10" customFormat="false" ht="15" hidden="false" customHeight="false" outlineLevel="0" collapsed="false">
      <c r="A10" s="7" t="s">
        <v>23</v>
      </c>
      <c r="B10" s="7" t="s">
        <v>20</v>
      </c>
      <c r="C10" s="7" t="s">
        <v>18</v>
      </c>
      <c r="D10" s="7" t="s">
        <v>24</v>
      </c>
      <c r="E10" s="7" t="n">
        <v>9792</v>
      </c>
      <c r="F10" s="8" t="n">
        <v>64811.21</v>
      </c>
      <c r="G10" s="21" t="n">
        <v>0.112</v>
      </c>
      <c r="H10" s="7" t="n">
        <v>84.2</v>
      </c>
      <c r="I10" s="7" t="n">
        <v>0</v>
      </c>
      <c r="J10" s="7" t="n">
        <v>0</v>
      </c>
      <c r="K10" s="7" t="n">
        <v>0</v>
      </c>
      <c r="L10" s="8" t="n">
        <v>761835.34</v>
      </c>
      <c r="M10" s="8" t="n">
        <f aca="false">'6. Multiple Regression'!$B$14+'6. Multiple Regression'!$B$15*E10+'6. Multiple Regression'!$B$16*F10+'6. Multiple Regression'!$B$17*G10+'6. Multiple Regression'!$B$18*H10+'6. Multiple Regression'!$B$19*I10+'6. Multiple Regression'!$B$20*J10+'6. Multiple Regression'!$B$21*K10</f>
        <v>788194.060227586</v>
      </c>
      <c r="N10" s="8" t="n">
        <f aca="false">L10-M10</f>
        <v>-26358.7202275861</v>
      </c>
      <c r="O10" s="8" t="n">
        <f aca="false">ABS(N10)</f>
        <v>26358.7202275861</v>
      </c>
      <c r="P10" s="22" t="n">
        <f aca="false">N10/L10</f>
        <v>-0.0345989728273647</v>
      </c>
    </row>
    <row r="11" customFormat="false" ht="15" hidden="false" customHeight="false" outlineLevel="0" collapsed="false">
      <c r="A11" s="4" t="s">
        <v>23</v>
      </c>
      <c r="B11" s="4" t="s">
        <v>21</v>
      </c>
      <c r="C11" s="4" t="s">
        <v>18</v>
      </c>
      <c r="D11" s="4" t="s">
        <v>24</v>
      </c>
      <c r="E11" s="4" t="n">
        <v>10616</v>
      </c>
      <c r="F11" s="5" t="n">
        <v>46213.45</v>
      </c>
      <c r="G11" s="19" t="n">
        <v>0.122</v>
      </c>
      <c r="H11" s="4" t="n">
        <v>85.2</v>
      </c>
      <c r="I11" s="4" t="n">
        <v>0</v>
      </c>
      <c r="J11" s="4" t="n">
        <v>0</v>
      </c>
      <c r="K11" s="4" t="n">
        <v>0</v>
      </c>
      <c r="L11" s="5" t="n">
        <v>806615.54</v>
      </c>
      <c r="M11" s="5" t="n">
        <f aca="false">'6. Multiple Regression'!$B$14+'6. Multiple Regression'!$B$15*E11+'6. Multiple Regression'!$B$16*F11+'6. Multiple Regression'!$B$17*G11+'6. Multiple Regression'!$B$18*H11+'6. Multiple Regression'!$B$19*I11+'6. Multiple Regression'!$B$20*J11+'6. Multiple Regression'!$B$21*K11</f>
        <v>796669.958487536</v>
      </c>
      <c r="N11" s="5" t="n">
        <f aca="false">L11-M11</f>
        <v>9945.58151246398</v>
      </c>
      <c r="O11" s="5" t="n">
        <f aca="false">ABS(N11)</f>
        <v>9945.58151246398</v>
      </c>
      <c r="P11" s="20" t="n">
        <f aca="false">N11/L11</f>
        <v>0.0123300147582874</v>
      </c>
    </row>
    <row r="12" customFormat="false" ht="15" hidden="false" customHeight="false" outlineLevel="0" collapsed="false">
      <c r="A12" s="7" t="s">
        <v>23</v>
      </c>
      <c r="B12" s="7" t="s">
        <v>22</v>
      </c>
      <c r="C12" s="7" t="s">
        <v>18</v>
      </c>
      <c r="D12" s="7" t="s">
        <v>24</v>
      </c>
      <c r="E12" s="7" t="n">
        <v>8567</v>
      </c>
      <c r="F12" s="8" t="n">
        <v>68148.52</v>
      </c>
      <c r="G12" s="21" t="n">
        <v>0.127</v>
      </c>
      <c r="H12" s="7" t="n">
        <v>95.6</v>
      </c>
      <c r="I12" s="7" t="n">
        <v>0</v>
      </c>
      <c r="J12" s="7" t="n">
        <v>0</v>
      </c>
      <c r="K12" s="7" t="n">
        <v>0</v>
      </c>
      <c r="L12" s="8" t="n">
        <v>850164.26</v>
      </c>
      <c r="M12" s="8" t="n">
        <f aca="false">'6. Multiple Regression'!$B$14+'6. Multiple Regression'!$B$15*E12+'6. Multiple Regression'!$B$16*F12+'6. Multiple Regression'!$B$17*G12+'6. Multiple Regression'!$B$18*H12+'6. Multiple Regression'!$B$19*I12+'6. Multiple Regression'!$B$20*J12+'6. Multiple Regression'!$B$21*K12</f>
        <v>784174.594479361</v>
      </c>
      <c r="N12" s="8" t="n">
        <f aca="false">L12-M12</f>
        <v>65989.6655206389</v>
      </c>
      <c r="O12" s="8" t="n">
        <f aca="false">ABS(N12)</f>
        <v>65989.6655206389</v>
      </c>
      <c r="P12" s="22" t="n">
        <f aca="false">N12/L12</f>
        <v>0.0776199007949816</v>
      </c>
    </row>
    <row r="13" customFormat="false" ht="15" hidden="false" customHeight="false" outlineLevel="0" collapsed="false">
      <c r="A13" s="4" t="s">
        <v>25</v>
      </c>
      <c r="B13" s="4" t="s">
        <v>17</v>
      </c>
      <c r="C13" s="4" t="s">
        <v>26</v>
      </c>
      <c r="D13" s="4" t="s">
        <v>27</v>
      </c>
      <c r="E13" s="4" t="n">
        <v>10979</v>
      </c>
      <c r="F13" s="5" t="n">
        <v>71838.86</v>
      </c>
      <c r="G13" s="19" t="n">
        <v>0.215</v>
      </c>
      <c r="H13" s="4" t="n">
        <v>88.6</v>
      </c>
      <c r="I13" s="4" t="n">
        <v>1</v>
      </c>
      <c r="J13" s="4" t="n">
        <v>0</v>
      </c>
      <c r="K13" s="4" t="n">
        <v>0</v>
      </c>
      <c r="L13" s="5" t="n">
        <v>930581.7</v>
      </c>
      <c r="M13" s="5" t="n">
        <f aca="false">'6. Multiple Regression'!$B$14+'6. Multiple Regression'!$B$15*E13+'6. Multiple Regression'!$B$16*F13+'6. Multiple Regression'!$B$17*G13+'6. Multiple Regression'!$B$18*H13+'6. Multiple Regression'!$B$19*I13+'6. Multiple Regression'!$B$20*J13+'6. Multiple Regression'!$B$21*K13</f>
        <v>865386.518383525</v>
      </c>
      <c r="N13" s="5" t="n">
        <f aca="false">L13-M13</f>
        <v>65195.1816164748</v>
      </c>
      <c r="O13" s="5" t="n">
        <f aca="false">ABS(N13)</f>
        <v>65195.1816164748</v>
      </c>
      <c r="P13" s="20" t="n">
        <f aca="false">N13/L13</f>
        <v>0.0700585253465384</v>
      </c>
    </row>
    <row r="14" customFormat="false" ht="15" hidden="false" customHeight="false" outlineLevel="0" collapsed="false">
      <c r="A14" s="7" t="s">
        <v>25</v>
      </c>
      <c r="B14" s="7" t="s">
        <v>20</v>
      </c>
      <c r="C14" s="7" t="s">
        <v>26</v>
      </c>
      <c r="D14" s="7" t="s">
        <v>27</v>
      </c>
      <c r="E14" s="7" t="n">
        <v>9459</v>
      </c>
      <c r="F14" s="8" t="n">
        <v>68133.44</v>
      </c>
      <c r="G14" s="21" t="n">
        <v>0.22</v>
      </c>
      <c r="H14" s="7" t="n">
        <v>85</v>
      </c>
      <c r="I14" s="7" t="n">
        <v>1</v>
      </c>
      <c r="J14" s="7" t="n">
        <v>0</v>
      </c>
      <c r="K14" s="7" t="n">
        <v>0</v>
      </c>
      <c r="L14" s="8" t="n">
        <v>779010.94</v>
      </c>
      <c r="M14" s="8" t="n">
        <f aca="false">'6. Multiple Regression'!$B$14+'6. Multiple Regression'!$B$15*E14+'6. Multiple Regression'!$B$16*F14+'6. Multiple Regression'!$B$17*G14+'6. Multiple Regression'!$B$18*H14+'6. Multiple Regression'!$B$19*I14+'6. Multiple Regression'!$B$20*J14+'6. Multiple Regression'!$B$21*K14</f>
        <v>798799.07313878</v>
      </c>
      <c r="N14" s="8" t="n">
        <f aca="false">L14-M14</f>
        <v>-19788.1331387801</v>
      </c>
      <c r="O14" s="8" t="n">
        <f aca="false">ABS(N14)</f>
        <v>19788.1331387801</v>
      </c>
      <c r="P14" s="22" t="n">
        <f aca="false">N14/L14</f>
        <v>-0.0254016113544954</v>
      </c>
    </row>
    <row r="15" customFormat="false" ht="15" hidden="false" customHeight="false" outlineLevel="0" collapsed="false">
      <c r="A15" s="4" t="s">
        <v>25</v>
      </c>
      <c r="B15" s="4" t="s">
        <v>21</v>
      </c>
      <c r="C15" s="4" t="s">
        <v>26</v>
      </c>
      <c r="D15" s="4" t="s">
        <v>27</v>
      </c>
      <c r="E15" s="4" t="n">
        <v>9172</v>
      </c>
      <c r="F15" s="5" t="n">
        <v>34285.21</v>
      </c>
      <c r="G15" s="19" t="n">
        <v>0.213</v>
      </c>
      <c r="H15" s="4" t="n">
        <v>88.3</v>
      </c>
      <c r="I15" s="4" t="n">
        <v>1</v>
      </c>
      <c r="J15" s="4" t="n">
        <v>0</v>
      </c>
      <c r="K15" s="4" t="n">
        <v>0</v>
      </c>
      <c r="L15" s="5" t="n">
        <v>723060.76</v>
      </c>
      <c r="M15" s="5" t="n">
        <f aca="false">'6. Multiple Regression'!$B$14+'6. Multiple Regression'!$B$15*E15+'6. Multiple Regression'!$B$16*F15+'6. Multiple Regression'!$B$17*G15+'6. Multiple Regression'!$B$18*H15+'6. Multiple Regression'!$B$19*I15+'6. Multiple Regression'!$B$20*J15+'6. Multiple Regression'!$B$21*K15</f>
        <v>760003.905251449</v>
      </c>
      <c r="N15" s="5" t="n">
        <f aca="false">L15-M15</f>
        <v>-36943.1452514491</v>
      </c>
      <c r="O15" s="5" t="n">
        <f aca="false">ABS(N15)</f>
        <v>36943.1452514491</v>
      </c>
      <c r="P15" s="20" t="n">
        <f aca="false">N15/L15</f>
        <v>-0.0510927259438738</v>
      </c>
    </row>
    <row r="16" customFormat="false" ht="15" hidden="false" customHeight="false" outlineLevel="0" collapsed="false">
      <c r="A16" s="7" t="s">
        <v>25</v>
      </c>
      <c r="B16" s="7" t="s">
        <v>22</v>
      </c>
      <c r="C16" s="7" t="s">
        <v>26</v>
      </c>
      <c r="D16" s="7" t="s">
        <v>27</v>
      </c>
      <c r="E16" s="7" t="n">
        <v>11230</v>
      </c>
      <c r="F16" s="8" t="n">
        <v>67979.88</v>
      </c>
      <c r="G16" s="21" t="n">
        <v>0.002</v>
      </c>
      <c r="H16" s="7" t="n">
        <v>85.3</v>
      </c>
      <c r="I16" s="7" t="n">
        <v>1</v>
      </c>
      <c r="J16" s="7" t="n">
        <v>0</v>
      </c>
      <c r="K16" s="7" t="n">
        <v>0</v>
      </c>
      <c r="L16" s="8" t="n">
        <v>910791.94</v>
      </c>
      <c r="M16" s="8" t="n">
        <f aca="false">'6. Multiple Regression'!$B$14+'6. Multiple Regression'!$B$15*E16+'6. Multiple Regression'!$B$16*F16+'6. Multiple Regression'!$B$17*G16+'6. Multiple Regression'!$B$18*H16+'6. Multiple Regression'!$B$19*I16+'6. Multiple Regression'!$B$20*J16+'6. Multiple Regression'!$B$21*K16</f>
        <v>871984.855912466</v>
      </c>
      <c r="N16" s="8" t="n">
        <f aca="false">L16-M16</f>
        <v>38807.0840875339</v>
      </c>
      <c r="O16" s="8" t="n">
        <f aca="false">ABS(N16)</f>
        <v>38807.0840875339</v>
      </c>
      <c r="P16" s="22" t="n">
        <f aca="false">N16/L16</f>
        <v>0.0426080670932748</v>
      </c>
    </row>
    <row r="17" customFormat="false" ht="15" hidden="false" customHeight="false" outlineLevel="0" collapsed="false">
      <c r="A17" s="4" t="s">
        <v>28</v>
      </c>
      <c r="B17" s="4" t="s">
        <v>17</v>
      </c>
      <c r="C17" s="4" t="s">
        <v>18</v>
      </c>
      <c r="D17" s="4" t="s">
        <v>19</v>
      </c>
      <c r="E17" s="4" t="n">
        <v>12775</v>
      </c>
      <c r="F17" s="5" t="n">
        <v>71828.26</v>
      </c>
      <c r="G17" s="19" t="n">
        <v>0.116</v>
      </c>
      <c r="H17" s="4" t="n">
        <v>81.7</v>
      </c>
      <c r="I17" s="4" t="n">
        <v>0</v>
      </c>
      <c r="J17" s="4" t="n">
        <v>0</v>
      </c>
      <c r="K17" s="4" t="n">
        <v>1</v>
      </c>
      <c r="L17" s="5" t="n">
        <v>922168.6</v>
      </c>
      <c r="M17" s="5" t="n">
        <f aca="false">'6. Multiple Regression'!$B$14+'6. Multiple Regression'!$B$15*E17+'6. Multiple Regression'!$B$16*F17+'6. Multiple Regression'!$B$17*G17+'6. Multiple Regression'!$B$18*H17+'6. Multiple Regression'!$B$19*I17+'6. Multiple Regression'!$B$20*J17+'6. Multiple Regression'!$B$21*K17</f>
        <v>872478.782791988</v>
      </c>
      <c r="N17" s="5" t="n">
        <f aca="false">L17-M17</f>
        <v>49689.8172080119</v>
      </c>
      <c r="O17" s="5" t="n">
        <f aca="false">ABS(N17)</f>
        <v>49689.8172080119</v>
      </c>
      <c r="P17" s="20" t="n">
        <f aca="false">N17/L17</f>
        <v>0.0538836577259428</v>
      </c>
    </row>
    <row r="18" customFormat="false" ht="15" hidden="false" customHeight="false" outlineLevel="0" collapsed="false">
      <c r="A18" s="7" t="s">
        <v>28</v>
      </c>
      <c r="B18" s="7" t="s">
        <v>20</v>
      </c>
      <c r="C18" s="7" t="s">
        <v>18</v>
      </c>
      <c r="D18" s="7" t="s">
        <v>19</v>
      </c>
      <c r="E18" s="7" t="n">
        <v>10054</v>
      </c>
      <c r="F18" s="8" t="n">
        <v>55716.82</v>
      </c>
      <c r="G18" s="21" t="n">
        <v>0.146</v>
      </c>
      <c r="H18" s="7" t="n">
        <v>84.9</v>
      </c>
      <c r="I18" s="7" t="n">
        <v>0</v>
      </c>
      <c r="J18" s="7" t="n">
        <v>0</v>
      </c>
      <c r="K18" s="7" t="n">
        <v>1</v>
      </c>
      <c r="L18" s="8" t="n">
        <v>726606.28</v>
      </c>
      <c r="M18" s="8" t="n">
        <f aca="false">'6. Multiple Regression'!$B$14+'6. Multiple Regression'!$B$15*E18+'6. Multiple Regression'!$B$16*F18+'6. Multiple Regression'!$B$17*G18+'6. Multiple Regression'!$B$18*H18+'6. Multiple Regression'!$B$19*I18+'6. Multiple Regression'!$B$20*J18+'6. Multiple Regression'!$B$21*K18</f>
        <v>769936.368294958</v>
      </c>
      <c r="N18" s="8" t="n">
        <f aca="false">L18-M18</f>
        <v>-43330.0882949579</v>
      </c>
      <c r="O18" s="8" t="n">
        <f aca="false">ABS(N18)</f>
        <v>43330.0882949579</v>
      </c>
      <c r="P18" s="22" t="n">
        <f aca="false">N18/L18</f>
        <v>-0.059633517473807</v>
      </c>
    </row>
    <row r="19" customFormat="false" ht="15" hidden="false" customHeight="false" outlineLevel="0" collapsed="false">
      <c r="A19" s="4" t="s">
        <v>28</v>
      </c>
      <c r="B19" s="4" t="s">
        <v>21</v>
      </c>
      <c r="C19" s="4" t="s">
        <v>18</v>
      </c>
      <c r="D19" s="4" t="s">
        <v>19</v>
      </c>
      <c r="E19" s="4" t="n">
        <v>8895</v>
      </c>
      <c r="F19" s="5" t="n">
        <v>59909.51</v>
      </c>
      <c r="G19" s="19" t="n">
        <v>0.228</v>
      </c>
      <c r="H19" s="4" t="n">
        <v>88.8</v>
      </c>
      <c r="I19" s="4" t="n">
        <v>0</v>
      </c>
      <c r="J19" s="4" t="n">
        <v>0</v>
      </c>
      <c r="K19" s="4" t="n">
        <v>1</v>
      </c>
      <c r="L19" s="5" t="n">
        <v>746501.09</v>
      </c>
      <c r="M19" s="5" t="n">
        <f aca="false">'6. Multiple Regression'!$B$14+'6. Multiple Regression'!$B$15*E19+'6. Multiple Regression'!$B$16*F19+'6. Multiple Regression'!$B$17*G19+'6. Multiple Regression'!$B$18*H19+'6. Multiple Regression'!$B$19*I19+'6. Multiple Regression'!$B$20*J19+'6. Multiple Regression'!$B$21*K19</f>
        <v>742679.030826794</v>
      </c>
      <c r="N19" s="5" t="n">
        <f aca="false">L19-M19</f>
        <v>3822.0591732061</v>
      </c>
      <c r="O19" s="5" t="n">
        <f aca="false">ABS(N19)</f>
        <v>3822.0591732061</v>
      </c>
      <c r="P19" s="20" t="n">
        <f aca="false">N19/L19</f>
        <v>0.00511996462484214</v>
      </c>
    </row>
    <row r="20" customFormat="false" ht="15" hidden="false" customHeight="false" outlineLevel="0" collapsed="false">
      <c r="A20" s="7" t="s">
        <v>28</v>
      </c>
      <c r="B20" s="7" t="s">
        <v>22</v>
      </c>
      <c r="C20" s="7" t="s">
        <v>18</v>
      </c>
      <c r="D20" s="7" t="s">
        <v>19</v>
      </c>
      <c r="E20" s="7" t="n">
        <v>10940</v>
      </c>
      <c r="F20" s="8" t="n">
        <v>75305.71</v>
      </c>
      <c r="G20" s="21" t="n">
        <v>0.006</v>
      </c>
      <c r="H20" s="7" t="n">
        <v>76.5</v>
      </c>
      <c r="I20" s="7" t="n">
        <v>0</v>
      </c>
      <c r="J20" s="7" t="n">
        <v>0</v>
      </c>
      <c r="K20" s="7" t="n">
        <v>1</v>
      </c>
      <c r="L20" s="8" t="n">
        <v>834017.02</v>
      </c>
      <c r="M20" s="8" t="n">
        <f aca="false">'6. Multiple Regression'!$B$14+'6. Multiple Regression'!$B$15*E20+'6. Multiple Regression'!$B$16*F20+'6. Multiple Regression'!$B$17*G20+'6. Multiple Regression'!$B$18*H20+'6. Multiple Regression'!$B$19*I20+'6. Multiple Regression'!$B$20*J20+'6. Multiple Regression'!$B$21*K20</f>
        <v>805632.614346908</v>
      </c>
      <c r="N20" s="8" t="n">
        <f aca="false">L20-M20</f>
        <v>28384.405653092</v>
      </c>
      <c r="O20" s="8" t="n">
        <f aca="false">ABS(N20)</f>
        <v>28384.405653092</v>
      </c>
      <c r="P20" s="22" t="n">
        <f aca="false">N20/L20</f>
        <v>0.0340333649942683</v>
      </c>
    </row>
    <row r="21" customFormat="false" ht="15" hidden="false" customHeight="false" outlineLevel="0" collapsed="false">
      <c r="A21" s="4" t="s">
        <v>29</v>
      </c>
      <c r="B21" s="4" t="s">
        <v>17</v>
      </c>
      <c r="C21" s="4" t="s">
        <v>30</v>
      </c>
      <c r="D21" s="4" t="s">
        <v>19</v>
      </c>
      <c r="E21" s="4" t="n">
        <v>7057</v>
      </c>
      <c r="F21" s="5" t="n">
        <v>48804.22</v>
      </c>
      <c r="G21" s="19" t="n">
        <v>0.005</v>
      </c>
      <c r="H21" s="4" t="n">
        <v>87.7</v>
      </c>
      <c r="I21" s="4" t="n">
        <v>0</v>
      </c>
      <c r="J21" s="4" t="n">
        <v>0</v>
      </c>
      <c r="K21" s="4" t="n">
        <v>1</v>
      </c>
      <c r="L21" s="5" t="n">
        <v>666152.52</v>
      </c>
      <c r="M21" s="5" t="n">
        <f aca="false">'6. Multiple Regression'!$B$14+'6. Multiple Regression'!$B$15*E21+'6. Multiple Regression'!$B$16*F21+'6. Multiple Regression'!$B$17*G21+'6. Multiple Regression'!$B$18*H21+'6. Multiple Regression'!$B$19*I21+'6. Multiple Regression'!$B$20*J21+'6. Multiple Regression'!$B$21*K21</f>
        <v>677698.741350275</v>
      </c>
      <c r="N21" s="5" t="n">
        <f aca="false">L21-M21</f>
        <v>-11546.2213502749</v>
      </c>
      <c r="O21" s="5" t="n">
        <f aca="false">ABS(N21)</f>
        <v>11546.2213502749</v>
      </c>
      <c r="P21" s="20" t="n">
        <f aca="false">N21/L21</f>
        <v>-0.0173326993498049</v>
      </c>
    </row>
    <row r="22" customFormat="false" ht="15" hidden="false" customHeight="false" outlineLevel="0" collapsed="false">
      <c r="A22" s="7" t="s">
        <v>29</v>
      </c>
      <c r="B22" s="7" t="s">
        <v>20</v>
      </c>
      <c r="C22" s="7" t="s">
        <v>30</v>
      </c>
      <c r="D22" s="7" t="s">
        <v>19</v>
      </c>
      <c r="E22" s="7" t="n">
        <v>4263</v>
      </c>
      <c r="F22" s="8" t="n">
        <v>59117.9</v>
      </c>
      <c r="G22" s="21" t="n">
        <v>0.119</v>
      </c>
      <c r="H22" s="7" t="n">
        <v>87.6</v>
      </c>
      <c r="I22" s="7" t="n">
        <v>0</v>
      </c>
      <c r="J22" s="7" t="n">
        <v>0</v>
      </c>
      <c r="K22" s="7" t="n">
        <v>1</v>
      </c>
      <c r="L22" s="8" t="n">
        <v>573155.19</v>
      </c>
      <c r="M22" s="8" t="n">
        <f aca="false">'6. Multiple Regression'!$B$14+'6. Multiple Regression'!$B$15*E22+'6. Multiple Regression'!$B$16*F22+'6. Multiple Regression'!$B$17*G22+'6. Multiple Regression'!$B$18*H22+'6. Multiple Regression'!$B$19*I22+'6. Multiple Regression'!$B$20*J22+'6. Multiple Regression'!$B$21*K22</f>
        <v>588643.824063197</v>
      </c>
      <c r="N22" s="8" t="n">
        <f aca="false">L22-M22</f>
        <v>-15488.634063197</v>
      </c>
      <c r="O22" s="8" t="n">
        <f aca="false">ABS(N22)</f>
        <v>15488.634063197</v>
      </c>
      <c r="P22" s="22" t="n">
        <f aca="false">N22/L22</f>
        <v>-0.0270234560088289</v>
      </c>
    </row>
    <row r="23" customFormat="false" ht="15" hidden="false" customHeight="false" outlineLevel="0" collapsed="false">
      <c r="A23" s="4" t="s">
        <v>29</v>
      </c>
      <c r="B23" s="4" t="s">
        <v>21</v>
      </c>
      <c r="C23" s="4" t="s">
        <v>30</v>
      </c>
      <c r="D23" s="4" t="s">
        <v>19</v>
      </c>
      <c r="E23" s="4" t="n">
        <v>5538</v>
      </c>
      <c r="F23" s="5" t="n">
        <v>78831.12</v>
      </c>
      <c r="G23" s="19" t="n">
        <v>0</v>
      </c>
      <c r="H23" s="4" t="n">
        <v>94.1</v>
      </c>
      <c r="I23" s="4" t="n">
        <v>0</v>
      </c>
      <c r="J23" s="4" t="n">
        <v>0</v>
      </c>
      <c r="K23" s="4" t="n">
        <v>1</v>
      </c>
      <c r="L23" s="5" t="n">
        <v>666573.2</v>
      </c>
      <c r="M23" s="5" t="n">
        <f aca="false">'6. Multiple Regression'!$B$14+'6. Multiple Regression'!$B$15*E23+'6. Multiple Regression'!$B$16*F23+'6. Multiple Regression'!$B$17*G23+'6. Multiple Regression'!$B$18*H23+'6. Multiple Regression'!$B$19*I23+'6. Multiple Regression'!$B$20*J23+'6. Multiple Regression'!$B$21*K23</f>
        <v>681060.90846366</v>
      </c>
      <c r="N23" s="5" t="n">
        <f aca="false">L23-M23</f>
        <v>-14487.70846366</v>
      </c>
      <c r="O23" s="5" t="n">
        <f aca="false">ABS(N23)</f>
        <v>14487.70846366</v>
      </c>
      <c r="P23" s="20" t="n">
        <f aca="false">N23/L23</f>
        <v>-0.0217346098877962</v>
      </c>
    </row>
    <row r="24" customFormat="false" ht="15" hidden="false" customHeight="false" outlineLevel="0" collapsed="false">
      <c r="A24" s="7" t="s">
        <v>29</v>
      </c>
      <c r="B24" s="7" t="s">
        <v>22</v>
      </c>
      <c r="C24" s="7" t="s">
        <v>30</v>
      </c>
      <c r="D24" s="7" t="s">
        <v>19</v>
      </c>
      <c r="E24" s="7" t="n">
        <v>4865</v>
      </c>
      <c r="F24" s="8" t="n">
        <v>41441.93</v>
      </c>
      <c r="G24" s="21" t="n">
        <v>0.158</v>
      </c>
      <c r="H24" s="7" t="n">
        <v>88.3</v>
      </c>
      <c r="I24" s="7" t="n">
        <v>0</v>
      </c>
      <c r="J24" s="7" t="n">
        <v>0</v>
      </c>
      <c r="K24" s="7" t="n">
        <v>1</v>
      </c>
      <c r="L24" s="8" t="n">
        <v>591619.95</v>
      </c>
      <c r="M24" s="8" t="n">
        <f aca="false">'6. Multiple Regression'!$B$14+'6. Multiple Regression'!$B$15*E24+'6. Multiple Regression'!$B$16*F24+'6. Multiple Regression'!$B$17*G24+'6. Multiple Regression'!$B$18*H24+'6. Multiple Regression'!$B$19*I24+'6. Multiple Regression'!$B$20*J24+'6. Multiple Regression'!$B$21*K24</f>
        <v>588111.502092944</v>
      </c>
      <c r="N24" s="8" t="n">
        <f aca="false">L24-M24</f>
        <v>3508.44790705608</v>
      </c>
      <c r="O24" s="8" t="n">
        <f aca="false">ABS(N24)</f>
        <v>3508.44790705608</v>
      </c>
      <c r="P24" s="22" t="n">
        <f aca="false">N24/L24</f>
        <v>0.00593023934885238</v>
      </c>
    </row>
    <row r="25" customFormat="false" ht="15" hidden="false" customHeight="false" outlineLevel="0" collapsed="false">
      <c r="A25" s="4" t="s">
        <v>31</v>
      </c>
      <c r="B25" s="4" t="s">
        <v>17</v>
      </c>
      <c r="C25" s="4" t="s">
        <v>26</v>
      </c>
      <c r="D25" s="4" t="s">
        <v>19</v>
      </c>
      <c r="E25" s="4" t="n">
        <v>2822</v>
      </c>
      <c r="F25" s="5" t="n">
        <v>30356.28</v>
      </c>
      <c r="G25" s="19" t="n">
        <v>0.231</v>
      </c>
      <c r="H25" s="4" t="n">
        <v>84.8</v>
      </c>
      <c r="I25" s="4" t="n">
        <v>0</v>
      </c>
      <c r="J25" s="4" t="n">
        <v>0</v>
      </c>
      <c r="K25" s="4" t="n">
        <v>1</v>
      </c>
      <c r="L25" s="5" t="n">
        <v>415721.82</v>
      </c>
      <c r="M25" s="5" t="n">
        <f aca="false">'6. Multiple Regression'!$B$14+'6. Multiple Regression'!$B$15*E25+'6. Multiple Regression'!$B$16*F25+'6. Multiple Regression'!$B$17*G25+'6. Multiple Regression'!$B$18*H25+'6. Multiple Regression'!$B$19*I25+'6. Multiple Regression'!$B$20*J25+'6. Multiple Regression'!$B$21*K25</f>
        <v>491609.471328593</v>
      </c>
      <c r="N25" s="5" t="n">
        <f aca="false">L25-M25</f>
        <v>-75887.651328593</v>
      </c>
      <c r="O25" s="5" t="n">
        <f aca="false">ABS(N25)</f>
        <v>75887.651328593</v>
      </c>
      <c r="P25" s="20" t="n">
        <f aca="false">N25/L25</f>
        <v>-0.182544306499459</v>
      </c>
    </row>
    <row r="26" customFormat="false" ht="15" hidden="false" customHeight="false" outlineLevel="0" collapsed="false">
      <c r="A26" s="7" t="s">
        <v>31</v>
      </c>
      <c r="B26" s="7" t="s">
        <v>20</v>
      </c>
      <c r="C26" s="7" t="s">
        <v>26</v>
      </c>
      <c r="D26" s="7" t="s">
        <v>19</v>
      </c>
      <c r="E26" s="7" t="n">
        <v>2121</v>
      </c>
      <c r="F26" s="8" t="n">
        <v>33518.88</v>
      </c>
      <c r="G26" s="21" t="n">
        <v>0.176</v>
      </c>
      <c r="H26" s="7" t="n">
        <v>88.5</v>
      </c>
      <c r="I26" s="7" t="n">
        <v>0</v>
      </c>
      <c r="J26" s="7" t="n">
        <v>0</v>
      </c>
      <c r="K26" s="7" t="n">
        <v>1</v>
      </c>
      <c r="L26" s="8" t="n">
        <v>491905.13</v>
      </c>
      <c r="M26" s="8" t="n">
        <f aca="false">'6. Multiple Regression'!$B$14+'6. Multiple Regression'!$B$15*E26+'6. Multiple Regression'!$B$16*F26+'6. Multiple Regression'!$B$17*G26+'6. Multiple Regression'!$B$18*H26+'6. Multiple Regression'!$B$19*I26+'6. Multiple Regression'!$B$20*J26+'6. Multiple Regression'!$B$21*K26</f>
        <v>486041.780075428</v>
      </c>
      <c r="N26" s="8" t="n">
        <f aca="false">L26-M26</f>
        <v>5863.34992457199</v>
      </c>
      <c r="O26" s="8" t="n">
        <f aca="false">ABS(N26)</f>
        <v>5863.34992457199</v>
      </c>
      <c r="P26" s="22" t="n">
        <f aca="false">N26/L26</f>
        <v>0.0119196763094786</v>
      </c>
    </row>
    <row r="27" customFormat="false" ht="15" hidden="false" customHeight="false" outlineLevel="0" collapsed="false">
      <c r="A27" s="4" t="s">
        <v>31</v>
      </c>
      <c r="B27" s="4" t="s">
        <v>21</v>
      </c>
      <c r="C27" s="4" t="s">
        <v>26</v>
      </c>
      <c r="D27" s="4" t="s">
        <v>19</v>
      </c>
      <c r="E27" s="4" t="n">
        <v>3364</v>
      </c>
      <c r="F27" s="5" t="n">
        <v>42267.37</v>
      </c>
      <c r="G27" s="19" t="n">
        <v>0.16</v>
      </c>
      <c r="H27" s="4" t="n">
        <v>82</v>
      </c>
      <c r="I27" s="4" t="n">
        <v>0</v>
      </c>
      <c r="J27" s="4" t="n">
        <v>0</v>
      </c>
      <c r="K27" s="4" t="n">
        <v>1</v>
      </c>
      <c r="L27" s="5" t="n">
        <v>555929.4</v>
      </c>
      <c r="M27" s="5" t="n">
        <f aca="false">'6. Multiple Regression'!$B$14+'6. Multiple Regression'!$B$15*E27+'6. Multiple Regression'!$B$16*F27+'6. Multiple Regression'!$B$17*G27+'6. Multiple Regression'!$B$18*H27+'6. Multiple Regression'!$B$19*I27+'6. Multiple Regression'!$B$20*J27+'6. Multiple Regression'!$B$21*K27</f>
        <v>519517.90017449</v>
      </c>
      <c r="N27" s="5" t="n">
        <f aca="false">L27-M27</f>
        <v>36411.49982551</v>
      </c>
      <c r="O27" s="5" t="n">
        <f aca="false">ABS(N27)</f>
        <v>36411.49982551</v>
      </c>
      <c r="P27" s="20" t="n">
        <f aca="false">N27/L27</f>
        <v>0.0654966256965543</v>
      </c>
    </row>
    <row r="28" customFormat="false" ht="15" hidden="false" customHeight="false" outlineLevel="0" collapsed="false">
      <c r="A28" s="7" t="s">
        <v>31</v>
      </c>
      <c r="B28" s="7" t="s">
        <v>22</v>
      </c>
      <c r="C28" s="7" t="s">
        <v>26</v>
      </c>
      <c r="D28" s="7" t="s">
        <v>19</v>
      </c>
      <c r="E28" s="7" t="n">
        <v>2613</v>
      </c>
      <c r="F28" s="8" t="n">
        <v>62060.43</v>
      </c>
      <c r="G28" s="21" t="n">
        <v>0.216</v>
      </c>
      <c r="H28" s="7" t="n">
        <v>92.1</v>
      </c>
      <c r="I28" s="7" t="n">
        <v>0</v>
      </c>
      <c r="J28" s="7" t="n">
        <v>0</v>
      </c>
      <c r="K28" s="7" t="n">
        <v>1</v>
      </c>
      <c r="L28" s="8" t="n">
        <v>565810.99</v>
      </c>
      <c r="M28" s="8" t="n">
        <f aca="false">'6. Multiple Regression'!$B$14+'6. Multiple Regression'!$B$15*E28+'6. Multiple Regression'!$B$16*F28+'6. Multiple Regression'!$B$17*G28+'6. Multiple Regression'!$B$18*H28+'6. Multiple Regression'!$B$19*I28+'6. Multiple Regression'!$B$20*J28+'6. Multiple Regression'!$B$21*K28</f>
        <v>544317.116330098</v>
      </c>
      <c r="N28" s="8" t="n">
        <f aca="false">L28-M28</f>
        <v>21493.8736699021</v>
      </c>
      <c r="O28" s="8" t="n">
        <f aca="false">ABS(N28)</f>
        <v>21493.8736699021</v>
      </c>
      <c r="P28" s="22" t="n">
        <f aca="false">N28/L28</f>
        <v>0.0379877274386312</v>
      </c>
    </row>
    <row r="29" customFormat="false" ht="15" hidden="false" customHeight="false" outlineLevel="0" collapsed="false">
      <c r="A29" s="4" t="s">
        <v>32</v>
      </c>
      <c r="B29" s="4" t="s">
        <v>17</v>
      </c>
      <c r="C29" s="4" t="s">
        <v>33</v>
      </c>
      <c r="D29" s="4" t="s">
        <v>34</v>
      </c>
      <c r="E29" s="4" t="n">
        <v>10218</v>
      </c>
      <c r="F29" s="5" t="n">
        <v>57696.69</v>
      </c>
      <c r="G29" s="19" t="n">
        <v>0.121</v>
      </c>
      <c r="H29" s="4" t="n">
        <v>94.8</v>
      </c>
      <c r="I29" s="4" t="n">
        <v>0</v>
      </c>
      <c r="J29" s="4" t="n">
        <v>1</v>
      </c>
      <c r="K29" s="4" t="n">
        <v>0</v>
      </c>
      <c r="L29" s="5" t="n">
        <v>811771.14</v>
      </c>
      <c r="M29" s="5" t="n">
        <f aca="false">'6. Multiple Regression'!$B$14+'6. Multiple Regression'!$B$15*E29+'6. Multiple Regression'!$B$16*F29+'6. Multiple Regression'!$B$17*G29+'6. Multiple Regression'!$B$18*H29+'6. Multiple Regression'!$B$19*I29+'6. Multiple Regression'!$B$20*J29+'6. Multiple Regression'!$B$21*K29</f>
        <v>836959.024445793</v>
      </c>
      <c r="N29" s="5" t="n">
        <f aca="false">L29-M29</f>
        <v>-25187.884445793</v>
      </c>
      <c r="O29" s="5" t="n">
        <f aca="false">ABS(N29)</f>
        <v>25187.884445793</v>
      </c>
      <c r="P29" s="20" t="n">
        <f aca="false">N29/L29</f>
        <v>-0.0310283073697261</v>
      </c>
    </row>
    <row r="30" customFormat="false" ht="15" hidden="false" customHeight="false" outlineLevel="0" collapsed="false">
      <c r="A30" s="7" t="s">
        <v>32</v>
      </c>
      <c r="B30" s="7" t="s">
        <v>20</v>
      </c>
      <c r="C30" s="7" t="s">
        <v>33</v>
      </c>
      <c r="D30" s="7" t="s">
        <v>34</v>
      </c>
      <c r="E30" s="7" t="n">
        <v>8927</v>
      </c>
      <c r="F30" s="8" t="n">
        <v>172415.52</v>
      </c>
      <c r="G30" s="21" t="n">
        <v>0.14</v>
      </c>
      <c r="H30" s="7" t="n">
        <v>86.2</v>
      </c>
      <c r="I30" s="7" t="n">
        <v>0</v>
      </c>
      <c r="J30" s="7" t="n">
        <v>1</v>
      </c>
      <c r="K30" s="7" t="n">
        <v>0</v>
      </c>
      <c r="L30" s="8" t="n">
        <v>800451.94</v>
      </c>
      <c r="M30" s="8" t="n">
        <f aca="false">'6. Multiple Regression'!$B$14+'6. Multiple Regression'!$B$15*E30+'6. Multiple Regression'!$B$16*F30+'6. Multiple Regression'!$B$17*G30+'6. Multiple Regression'!$B$18*H30+'6. Multiple Regression'!$B$19*I30+'6. Multiple Regression'!$B$20*J30+'6. Multiple Regression'!$B$21*K30</f>
        <v>900272.49252918</v>
      </c>
      <c r="N30" s="8" t="n">
        <f aca="false">L30-M30</f>
        <v>-99820.55252918</v>
      </c>
      <c r="O30" s="8" t="n">
        <f aca="false">ABS(N30)</f>
        <v>99820.55252918</v>
      </c>
      <c r="P30" s="22" t="n">
        <f aca="false">N30/L30</f>
        <v>-0.124705241552891</v>
      </c>
    </row>
    <row r="31" customFormat="false" ht="15" hidden="false" customHeight="false" outlineLevel="0" collapsed="false">
      <c r="A31" s="4" t="s">
        <v>32</v>
      </c>
      <c r="B31" s="4" t="s">
        <v>21</v>
      </c>
      <c r="C31" s="4" t="s">
        <v>33</v>
      </c>
      <c r="D31" s="4" t="s">
        <v>34</v>
      </c>
      <c r="E31" s="4" t="n">
        <v>9315</v>
      </c>
      <c r="F31" s="5" t="n">
        <v>55270.52</v>
      </c>
      <c r="G31" s="19" t="n">
        <v>0.169</v>
      </c>
      <c r="H31" s="4" t="n">
        <v>91.9</v>
      </c>
      <c r="I31" s="4" t="n">
        <v>0</v>
      </c>
      <c r="J31" s="4" t="n">
        <v>1</v>
      </c>
      <c r="K31" s="4" t="n">
        <v>0</v>
      </c>
      <c r="L31" s="5" t="n">
        <v>783672.82</v>
      </c>
      <c r="M31" s="5" t="n">
        <f aca="false">'6. Multiple Regression'!$B$14+'6. Multiple Regression'!$B$15*E31+'6. Multiple Regression'!$B$16*F31+'6. Multiple Regression'!$B$17*G31+'6. Multiple Regression'!$B$18*H31+'6. Multiple Regression'!$B$19*I31+'6. Multiple Regression'!$B$20*J31+'6. Multiple Regression'!$B$21*K31</f>
        <v>792200.716301507</v>
      </c>
      <c r="N31" s="5" t="n">
        <f aca="false">L31-M31</f>
        <v>-8527.89630150714</v>
      </c>
      <c r="O31" s="5" t="n">
        <f aca="false">ABS(N31)</f>
        <v>8527.89630150714</v>
      </c>
      <c r="P31" s="20" t="n">
        <f aca="false">N31/L31</f>
        <v>-0.0108819600270265</v>
      </c>
    </row>
    <row r="32" customFormat="false" ht="15" hidden="false" customHeight="false" outlineLevel="0" collapsed="false">
      <c r="A32" s="7" t="s">
        <v>32</v>
      </c>
      <c r="B32" s="7" t="s">
        <v>22</v>
      </c>
      <c r="C32" s="7" t="s">
        <v>33</v>
      </c>
      <c r="D32" s="7" t="s">
        <v>34</v>
      </c>
      <c r="E32" s="7" t="n">
        <v>7223</v>
      </c>
      <c r="F32" s="8" t="n">
        <v>52715.1</v>
      </c>
      <c r="G32" s="21" t="n">
        <v>0.122</v>
      </c>
      <c r="H32" s="7" t="n">
        <v>84.2</v>
      </c>
      <c r="I32" s="7" t="n">
        <v>0</v>
      </c>
      <c r="J32" s="7" t="n">
        <v>1</v>
      </c>
      <c r="K32" s="7" t="n">
        <v>0</v>
      </c>
      <c r="L32" s="8" t="n">
        <v>701641.97</v>
      </c>
      <c r="M32" s="8" t="n">
        <f aca="false">'6. Multiple Regression'!$B$14+'6. Multiple Regression'!$B$15*E32+'6. Multiple Regression'!$B$16*F32+'6. Multiple Regression'!$B$17*G32+'6. Multiple Regression'!$B$18*H32+'6. Multiple Regression'!$B$19*I32+'6. Multiple Regression'!$B$20*J32+'6. Multiple Regression'!$B$21*K32</f>
        <v>698456.527916986</v>
      </c>
      <c r="N32" s="8" t="n">
        <f aca="false">L32-M32</f>
        <v>3185.44208301394</v>
      </c>
      <c r="O32" s="8" t="n">
        <f aca="false">ABS(N32)</f>
        <v>3185.44208301394</v>
      </c>
      <c r="P32" s="22" t="n">
        <f aca="false">N32/L32</f>
        <v>0.00453998224053493</v>
      </c>
    </row>
    <row r="33" customFormat="false" ht="15" hidden="false" customHeight="false" outlineLevel="0" collapsed="false">
      <c r="A33" s="4" t="s">
        <v>35</v>
      </c>
      <c r="B33" s="4" t="s">
        <v>17</v>
      </c>
      <c r="C33" s="4" t="s">
        <v>18</v>
      </c>
      <c r="D33" s="4" t="s">
        <v>19</v>
      </c>
      <c r="E33" s="4" t="n">
        <v>3988</v>
      </c>
      <c r="F33" s="5" t="n">
        <v>68600.62</v>
      </c>
      <c r="G33" s="19" t="n">
        <v>0.124</v>
      </c>
      <c r="H33" s="4" t="n">
        <v>85</v>
      </c>
      <c r="I33" s="4" t="n">
        <v>0</v>
      </c>
      <c r="J33" s="4" t="n">
        <v>0</v>
      </c>
      <c r="K33" s="4" t="n">
        <v>1</v>
      </c>
      <c r="L33" s="5" t="n">
        <v>511844.41</v>
      </c>
      <c r="M33" s="5" t="n">
        <f aca="false">'6. Multiple Regression'!$B$14+'6. Multiple Regression'!$B$15*E33+'6. Multiple Regression'!$B$16*F33+'6. Multiple Regression'!$B$17*G33+'6. Multiple Regression'!$B$18*H33+'6. Multiple Regression'!$B$19*I33+'6. Multiple Regression'!$B$20*J33+'6. Multiple Regression'!$B$21*K33</f>
        <v>582340.443601472</v>
      </c>
      <c r="N33" s="5" t="n">
        <f aca="false">L33-M33</f>
        <v>-70496.033601472</v>
      </c>
      <c r="O33" s="5" t="n">
        <f aca="false">ABS(N33)</f>
        <v>70496.033601472</v>
      </c>
      <c r="P33" s="20" t="n">
        <f aca="false">N33/L33</f>
        <v>-0.137729419769324</v>
      </c>
    </row>
    <row r="34" customFormat="false" ht="15" hidden="false" customHeight="false" outlineLevel="0" collapsed="false">
      <c r="A34" s="7" t="s">
        <v>35</v>
      </c>
      <c r="B34" s="7" t="s">
        <v>20</v>
      </c>
      <c r="C34" s="7" t="s">
        <v>18</v>
      </c>
      <c r="D34" s="7" t="s">
        <v>19</v>
      </c>
      <c r="E34" s="7" t="n">
        <v>2390</v>
      </c>
      <c r="F34" s="8" t="n">
        <v>63176.73</v>
      </c>
      <c r="G34" s="21" t="n">
        <v>0.216</v>
      </c>
      <c r="H34" s="7" t="n">
        <v>87.5</v>
      </c>
      <c r="I34" s="7" t="n">
        <v>0</v>
      </c>
      <c r="J34" s="7" t="n">
        <v>0</v>
      </c>
      <c r="K34" s="7" t="n">
        <v>1</v>
      </c>
      <c r="L34" s="8" t="n">
        <v>537383.79</v>
      </c>
      <c r="M34" s="8" t="n">
        <f aca="false">'6. Multiple Regression'!$B$14+'6. Multiple Regression'!$B$15*E34+'6. Multiple Regression'!$B$16*F34+'6. Multiple Regression'!$B$17*G34+'6. Multiple Regression'!$B$18*H34+'6. Multiple Regression'!$B$19*I34+'6. Multiple Regression'!$B$20*J34+'6. Multiple Regression'!$B$21*K34</f>
        <v>524305.493607998</v>
      </c>
      <c r="N34" s="8" t="n">
        <f aca="false">L34-M34</f>
        <v>13078.296392002</v>
      </c>
      <c r="O34" s="8" t="n">
        <f aca="false">ABS(N34)</f>
        <v>13078.296392002</v>
      </c>
      <c r="P34" s="22" t="n">
        <f aca="false">N34/L34</f>
        <v>0.0243369759850814</v>
      </c>
    </row>
    <row r="35" customFormat="false" ht="15" hidden="false" customHeight="false" outlineLevel="0" collapsed="false">
      <c r="A35" s="4" t="s">
        <v>35</v>
      </c>
      <c r="B35" s="4" t="s">
        <v>21</v>
      </c>
      <c r="C35" s="4" t="s">
        <v>18</v>
      </c>
      <c r="D35" s="4" t="s">
        <v>19</v>
      </c>
      <c r="E35" s="4" t="n">
        <v>2471</v>
      </c>
      <c r="F35" s="5" t="n">
        <v>44970.08</v>
      </c>
      <c r="G35" s="19" t="n">
        <v>0.136</v>
      </c>
      <c r="H35" s="4" t="n">
        <v>87.6</v>
      </c>
      <c r="I35" s="4" t="n">
        <v>0</v>
      </c>
      <c r="J35" s="4" t="n">
        <v>0</v>
      </c>
      <c r="K35" s="4" t="n">
        <v>1</v>
      </c>
      <c r="L35" s="5" t="n">
        <v>500173.02</v>
      </c>
      <c r="M35" s="5" t="n">
        <f aca="false">'6. Multiple Regression'!$B$14+'6. Multiple Regression'!$B$15*E35+'6. Multiple Regression'!$B$16*F35+'6. Multiple Regression'!$B$17*G35+'6. Multiple Regression'!$B$18*H35+'6. Multiple Regression'!$B$19*I35+'6. Multiple Regression'!$B$20*J35+'6. Multiple Regression'!$B$21*K35</f>
        <v>510826.371410008</v>
      </c>
      <c r="N35" s="5" t="n">
        <f aca="false">L35-M35</f>
        <v>-10653.351410008</v>
      </c>
      <c r="O35" s="5" t="n">
        <f aca="false">ABS(N35)</f>
        <v>10653.351410008</v>
      </c>
      <c r="P35" s="20" t="n">
        <f aca="false">N35/L35</f>
        <v>-0.0212993323990326</v>
      </c>
    </row>
    <row r="36" customFormat="false" ht="15" hidden="false" customHeight="false" outlineLevel="0" collapsed="false">
      <c r="A36" s="7" t="s">
        <v>35</v>
      </c>
      <c r="B36" s="7" t="s">
        <v>22</v>
      </c>
      <c r="C36" s="7" t="s">
        <v>18</v>
      </c>
      <c r="D36" s="7" t="s">
        <v>19</v>
      </c>
      <c r="E36" s="7" t="n">
        <v>971</v>
      </c>
      <c r="F36" s="8" t="n">
        <v>69816.35</v>
      </c>
      <c r="G36" s="21" t="n">
        <v>0.168</v>
      </c>
      <c r="H36" s="7" t="n">
        <v>89.9</v>
      </c>
      <c r="I36" s="7" t="n">
        <v>0</v>
      </c>
      <c r="J36" s="7" t="n">
        <v>0</v>
      </c>
      <c r="K36" s="7" t="n">
        <v>1</v>
      </c>
      <c r="L36" s="8" t="n">
        <v>427917.38</v>
      </c>
      <c r="M36" s="8" t="n">
        <f aca="false">'6. Multiple Regression'!$B$14+'6. Multiple Regression'!$B$15*E36+'6. Multiple Regression'!$B$16*F36+'6. Multiple Regression'!$B$17*G36+'6. Multiple Regression'!$B$18*H36+'6. Multiple Regression'!$B$19*I36+'6. Multiple Regression'!$B$20*J36+'6. Multiple Regression'!$B$21*K36</f>
        <v>494305.201970634</v>
      </c>
      <c r="N36" s="8" t="n">
        <f aca="false">L36-M36</f>
        <v>-66387.821970634</v>
      </c>
      <c r="O36" s="8" t="n">
        <f aca="false">ABS(N36)</f>
        <v>66387.821970634</v>
      </c>
      <c r="P36" s="22" t="n">
        <f aca="false">N36/L36</f>
        <v>-0.155141681720509</v>
      </c>
    </row>
    <row r="37" customFormat="false" ht="15" hidden="false" customHeight="false" outlineLevel="0" collapsed="false">
      <c r="A37" s="4" t="s">
        <v>36</v>
      </c>
      <c r="B37" s="4" t="s">
        <v>17</v>
      </c>
      <c r="C37" s="4" t="s">
        <v>26</v>
      </c>
      <c r="D37" s="4" t="s">
        <v>19</v>
      </c>
      <c r="E37" s="4" t="n">
        <v>9429</v>
      </c>
      <c r="F37" s="5" t="n">
        <v>54597.83</v>
      </c>
      <c r="G37" s="19" t="n">
        <v>0.188</v>
      </c>
      <c r="H37" s="4" t="n">
        <v>83.3</v>
      </c>
      <c r="I37" s="4" t="n">
        <v>0</v>
      </c>
      <c r="J37" s="4" t="n">
        <v>0</v>
      </c>
      <c r="K37" s="4" t="n">
        <v>1</v>
      </c>
      <c r="L37" s="5" t="n">
        <v>641865.03</v>
      </c>
      <c r="M37" s="5" t="n">
        <f aca="false">'6. Multiple Regression'!$B$14+'6. Multiple Regression'!$B$15*E37+'6. Multiple Regression'!$B$16*F37+'6. Multiple Regression'!$B$17*G37+'6. Multiple Regression'!$B$18*H37+'6. Multiple Regression'!$B$19*I37+'6. Multiple Regression'!$B$20*J37+'6. Multiple Regression'!$B$21*K37</f>
        <v>740315.353138534</v>
      </c>
      <c r="N37" s="5" t="n">
        <f aca="false">L37-M37</f>
        <v>-98450.323138534</v>
      </c>
      <c r="O37" s="5" t="n">
        <f aca="false">ABS(N37)</f>
        <v>98450.323138534</v>
      </c>
      <c r="P37" s="20" t="n">
        <f aca="false">N37/L37</f>
        <v>-0.153381658973591</v>
      </c>
    </row>
    <row r="38" customFormat="false" ht="15" hidden="false" customHeight="false" outlineLevel="0" collapsed="false">
      <c r="A38" s="7" t="s">
        <v>36</v>
      </c>
      <c r="B38" s="7" t="s">
        <v>20</v>
      </c>
      <c r="C38" s="7" t="s">
        <v>26</v>
      </c>
      <c r="D38" s="7" t="s">
        <v>19</v>
      </c>
      <c r="E38" s="7" t="n">
        <v>11695</v>
      </c>
      <c r="F38" s="8" t="n">
        <v>73771.91</v>
      </c>
      <c r="G38" s="21" t="n">
        <v>0.07</v>
      </c>
      <c r="H38" s="7" t="n">
        <v>84.7</v>
      </c>
      <c r="I38" s="7" t="n">
        <v>0</v>
      </c>
      <c r="J38" s="7" t="n">
        <v>0</v>
      </c>
      <c r="K38" s="7" t="n">
        <v>1</v>
      </c>
      <c r="L38" s="8" t="n">
        <v>799477.76</v>
      </c>
      <c r="M38" s="8" t="n">
        <f aca="false">'6. Multiple Regression'!$B$14+'6. Multiple Regression'!$B$15*E38+'6. Multiple Regression'!$B$16*F38+'6. Multiple Regression'!$B$17*G38+'6. Multiple Regression'!$B$18*H38+'6. Multiple Regression'!$B$19*I38+'6. Multiple Regression'!$B$20*J38+'6. Multiple Regression'!$B$21*K38</f>
        <v>850100.48009554</v>
      </c>
      <c r="N38" s="8" t="n">
        <f aca="false">L38-M38</f>
        <v>-50622.7200955401</v>
      </c>
      <c r="O38" s="8" t="n">
        <f aca="false">ABS(N38)</f>
        <v>50622.7200955401</v>
      </c>
      <c r="P38" s="22" t="n">
        <f aca="false">N38/L38</f>
        <v>-0.0633197352425914</v>
      </c>
    </row>
    <row r="39" customFormat="false" ht="15" hidden="false" customHeight="false" outlineLevel="0" collapsed="false">
      <c r="A39" s="4" t="s">
        <v>36</v>
      </c>
      <c r="B39" s="4" t="s">
        <v>21</v>
      </c>
      <c r="C39" s="4" t="s">
        <v>26</v>
      </c>
      <c r="D39" s="4" t="s">
        <v>19</v>
      </c>
      <c r="E39" s="4" t="n">
        <v>9449</v>
      </c>
      <c r="F39" s="5" t="n">
        <v>74413.88</v>
      </c>
      <c r="G39" s="19" t="n">
        <v>0.039</v>
      </c>
      <c r="H39" s="4" t="n">
        <v>92.1</v>
      </c>
      <c r="I39" s="4" t="n">
        <v>0</v>
      </c>
      <c r="J39" s="4" t="n">
        <v>0</v>
      </c>
      <c r="K39" s="4" t="n">
        <v>1</v>
      </c>
      <c r="L39" s="5" t="n">
        <v>798952.17</v>
      </c>
      <c r="M39" s="5" t="n">
        <f aca="false">'6. Multiple Regression'!$B$14+'6. Multiple Regression'!$B$15*E39+'6. Multiple Regression'!$B$16*F39+'6. Multiple Regression'!$B$17*G39+'6. Multiple Regression'!$B$18*H39+'6. Multiple Regression'!$B$19*I39+'6. Multiple Regression'!$B$20*J39+'6. Multiple Regression'!$B$21*K39</f>
        <v>799273.831238797</v>
      </c>
      <c r="N39" s="5" t="n">
        <f aca="false">L39-M39</f>
        <v>-321.661238796893</v>
      </c>
      <c r="O39" s="5" t="n">
        <f aca="false">ABS(N39)</f>
        <v>321.661238796893</v>
      </c>
      <c r="P39" s="20" t="n">
        <f aca="false">N39/L39</f>
        <v>-0.000402603874017756</v>
      </c>
    </row>
    <row r="40" customFormat="false" ht="15" hidden="false" customHeight="false" outlineLevel="0" collapsed="false">
      <c r="A40" s="7" t="s">
        <v>36</v>
      </c>
      <c r="B40" s="7" t="s">
        <v>22</v>
      </c>
      <c r="C40" s="7" t="s">
        <v>26</v>
      </c>
      <c r="D40" s="7" t="s">
        <v>19</v>
      </c>
      <c r="E40" s="7" t="n">
        <v>10453</v>
      </c>
      <c r="F40" s="8" t="n">
        <v>52483.77</v>
      </c>
      <c r="G40" s="21" t="n">
        <v>0.247</v>
      </c>
      <c r="H40" s="7" t="n">
        <v>99</v>
      </c>
      <c r="I40" s="7" t="n">
        <v>0</v>
      </c>
      <c r="J40" s="7" t="n">
        <v>0</v>
      </c>
      <c r="K40" s="7" t="n">
        <v>1</v>
      </c>
      <c r="L40" s="8" t="n">
        <v>800979.78</v>
      </c>
      <c r="M40" s="8" t="n">
        <f aca="false">'6. Multiple Regression'!$B$14+'6. Multiple Regression'!$B$15*E40+'6. Multiple Regression'!$B$16*F40+'6. Multiple Regression'!$B$17*G40+'6. Multiple Regression'!$B$18*H40+'6. Multiple Regression'!$B$19*I40+'6. Multiple Regression'!$B$20*J40+'6. Multiple Regression'!$B$21*K40</f>
        <v>815966.226686171</v>
      </c>
      <c r="N40" s="8" t="n">
        <f aca="false">L40-M40</f>
        <v>-14986.4466861709</v>
      </c>
      <c r="O40" s="8" t="n">
        <f aca="false">ABS(N40)</f>
        <v>14986.4466861709</v>
      </c>
      <c r="P40" s="22" t="n">
        <f aca="false">N40/L40</f>
        <v>-0.0187101435771211</v>
      </c>
    </row>
    <row r="41" customFormat="false" ht="15" hidden="false" customHeight="false" outlineLevel="0" collapsed="false">
      <c r="A41" s="4" t="s">
        <v>37</v>
      </c>
      <c r="B41" s="4" t="s">
        <v>17</v>
      </c>
      <c r="C41" s="4" t="s">
        <v>26</v>
      </c>
      <c r="D41" s="4" t="s">
        <v>34</v>
      </c>
      <c r="E41" s="4" t="n">
        <v>8838</v>
      </c>
      <c r="F41" s="5" t="n">
        <v>75269.87</v>
      </c>
      <c r="G41" s="19" t="n">
        <v>0.092</v>
      </c>
      <c r="H41" s="4" t="n">
        <v>83.1</v>
      </c>
      <c r="I41" s="4" t="n">
        <v>0</v>
      </c>
      <c r="J41" s="4" t="n">
        <v>1</v>
      </c>
      <c r="K41" s="4" t="n">
        <v>0</v>
      </c>
      <c r="L41" s="5" t="n">
        <v>820593.93</v>
      </c>
      <c r="M41" s="5" t="n">
        <f aca="false">'6. Multiple Regression'!$B$14+'6. Multiple Regression'!$B$15*E41+'6. Multiple Regression'!$B$16*F41+'6. Multiple Regression'!$B$17*G41+'6. Multiple Regression'!$B$18*H41+'6. Multiple Regression'!$B$19*I41+'6. Multiple Regression'!$B$20*J41+'6. Multiple Regression'!$B$21*K41</f>
        <v>777578.277476206</v>
      </c>
      <c r="N41" s="5" t="n">
        <f aca="false">L41-M41</f>
        <v>43015.6525237941</v>
      </c>
      <c r="O41" s="5" t="n">
        <f aca="false">ABS(N41)</f>
        <v>43015.6525237941</v>
      </c>
      <c r="P41" s="20" t="n">
        <f aca="false">N41/L41</f>
        <v>0.0524201446674046</v>
      </c>
    </row>
    <row r="42" customFormat="false" ht="15" hidden="false" customHeight="false" outlineLevel="0" collapsed="false">
      <c r="A42" s="7" t="s">
        <v>37</v>
      </c>
      <c r="B42" s="7" t="s">
        <v>20</v>
      </c>
      <c r="C42" s="7" t="s">
        <v>26</v>
      </c>
      <c r="D42" s="7" t="s">
        <v>34</v>
      </c>
      <c r="E42" s="7" t="n">
        <v>8156</v>
      </c>
      <c r="F42" s="8" t="n">
        <v>61245.41</v>
      </c>
      <c r="G42" s="21" t="n">
        <v>0.156</v>
      </c>
      <c r="H42" s="7" t="n">
        <v>92.9</v>
      </c>
      <c r="I42" s="7" t="n">
        <v>0</v>
      </c>
      <c r="J42" s="7" t="n">
        <v>1</v>
      </c>
      <c r="K42" s="7" t="n">
        <v>0</v>
      </c>
      <c r="L42" s="8" t="n">
        <v>718330.53</v>
      </c>
      <c r="M42" s="8" t="n">
        <f aca="false">'6. Multiple Regression'!$B$14+'6. Multiple Regression'!$B$15*E42+'6. Multiple Regression'!$B$16*F42+'6. Multiple Regression'!$B$17*G42+'6. Multiple Regression'!$B$18*H42+'6. Multiple Regression'!$B$19*I42+'6. Multiple Regression'!$B$20*J42+'6. Multiple Regression'!$B$21*K42</f>
        <v>763914.529572458</v>
      </c>
      <c r="N42" s="8" t="n">
        <f aca="false">L42-M42</f>
        <v>-45583.999572458</v>
      </c>
      <c r="O42" s="8" t="n">
        <f aca="false">ABS(N42)</f>
        <v>45583.999572458</v>
      </c>
      <c r="P42" s="22" t="n">
        <f aca="false">N42/L42</f>
        <v>-0.0634582516943252</v>
      </c>
    </row>
    <row r="43" customFormat="false" ht="15" hidden="false" customHeight="false" outlineLevel="0" collapsed="false">
      <c r="A43" s="4" t="s">
        <v>37</v>
      </c>
      <c r="B43" s="4" t="s">
        <v>21</v>
      </c>
      <c r="C43" s="4" t="s">
        <v>26</v>
      </c>
      <c r="D43" s="4" t="s">
        <v>34</v>
      </c>
      <c r="E43" s="4" t="n">
        <v>7562</v>
      </c>
      <c r="F43" s="5" t="n">
        <v>93381.26</v>
      </c>
      <c r="G43" s="19" t="n">
        <v>0.198</v>
      </c>
      <c r="H43" s="4" t="n">
        <v>82.9</v>
      </c>
      <c r="I43" s="4" t="n">
        <v>0</v>
      </c>
      <c r="J43" s="4" t="n">
        <v>1</v>
      </c>
      <c r="K43" s="4" t="n">
        <v>0</v>
      </c>
      <c r="L43" s="5" t="n">
        <v>736633.4</v>
      </c>
      <c r="M43" s="5" t="n">
        <f aca="false">'6. Multiple Regression'!$B$14+'6. Multiple Regression'!$B$15*E43+'6. Multiple Regression'!$B$16*F43+'6. Multiple Regression'!$B$17*G43+'6. Multiple Regression'!$B$18*H43+'6. Multiple Regression'!$B$19*I43+'6. Multiple Regression'!$B$20*J43+'6. Multiple Regression'!$B$21*K43</f>
        <v>748885.350285154</v>
      </c>
      <c r="N43" s="5" t="n">
        <f aca="false">L43-M43</f>
        <v>-12251.950285154</v>
      </c>
      <c r="O43" s="5" t="n">
        <f aca="false">ABS(N43)</f>
        <v>12251.950285154</v>
      </c>
      <c r="P43" s="20" t="n">
        <f aca="false">N43/L43</f>
        <v>-0.0166323578121139</v>
      </c>
    </row>
    <row r="44" customFormat="false" ht="15" hidden="false" customHeight="false" outlineLevel="0" collapsed="false">
      <c r="A44" s="7" t="s">
        <v>37</v>
      </c>
      <c r="B44" s="7" t="s">
        <v>22</v>
      </c>
      <c r="C44" s="7" t="s">
        <v>26</v>
      </c>
      <c r="D44" s="7" t="s">
        <v>34</v>
      </c>
      <c r="E44" s="7" t="n">
        <v>9598</v>
      </c>
      <c r="F44" s="8" t="n">
        <v>65012.19</v>
      </c>
      <c r="G44" s="21" t="n">
        <v>0.085</v>
      </c>
      <c r="H44" s="7" t="n">
        <v>98.3</v>
      </c>
      <c r="I44" s="7" t="n">
        <v>0</v>
      </c>
      <c r="J44" s="7" t="n">
        <v>1</v>
      </c>
      <c r="K44" s="7" t="n">
        <v>0</v>
      </c>
      <c r="L44" s="8" t="n">
        <v>828623.85</v>
      </c>
      <c r="M44" s="8" t="n">
        <f aca="false">'6. Multiple Regression'!$B$14+'6. Multiple Regression'!$B$15*E44+'6. Multiple Regression'!$B$16*F44+'6. Multiple Regression'!$B$17*G44+'6. Multiple Regression'!$B$18*H44+'6. Multiple Regression'!$B$19*I44+'6. Multiple Regression'!$B$20*J44+'6. Multiple Regression'!$B$21*K44</f>
        <v>837238.591404525</v>
      </c>
      <c r="N44" s="8" t="n">
        <f aca="false">L44-M44</f>
        <v>-8614.74140452489</v>
      </c>
      <c r="O44" s="8" t="n">
        <f aca="false">ABS(N44)</f>
        <v>8614.74140452489</v>
      </c>
      <c r="P44" s="22" t="n">
        <f aca="false">N44/L44</f>
        <v>-0.010396443940788</v>
      </c>
    </row>
    <row r="45" customFormat="false" ht="15" hidden="false" customHeight="false" outlineLevel="0" collapsed="false">
      <c r="A45" s="4" t="s">
        <v>38</v>
      </c>
      <c r="B45" s="4" t="s">
        <v>17</v>
      </c>
      <c r="C45" s="4" t="s">
        <v>18</v>
      </c>
      <c r="D45" s="4" t="s">
        <v>34</v>
      </c>
      <c r="E45" s="4" t="n">
        <v>3660</v>
      </c>
      <c r="F45" s="5" t="n">
        <v>40462.94</v>
      </c>
      <c r="G45" s="19" t="n">
        <v>0.218</v>
      </c>
      <c r="H45" s="4" t="n">
        <v>95.2</v>
      </c>
      <c r="I45" s="4" t="n">
        <v>0</v>
      </c>
      <c r="J45" s="4" t="n">
        <v>1</v>
      </c>
      <c r="K45" s="4" t="n">
        <v>0</v>
      </c>
      <c r="L45" s="5" t="n">
        <v>592195.85</v>
      </c>
      <c r="M45" s="5" t="n">
        <f aca="false">'6. Multiple Regression'!$B$14+'6. Multiple Regression'!$B$15*E45+'6. Multiple Regression'!$B$16*F45+'6. Multiple Regression'!$B$17*G45+'6. Multiple Regression'!$B$18*H45+'6. Multiple Regression'!$B$19*I45+'6. Multiple Regression'!$B$20*J45+'6. Multiple Regression'!$B$21*K45</f>
        <v>591587.201476154</v>
      </c>
      <c r="N45" s="5" t="n">
        <f aca="false">L45-M45</f>
        <v>608.648523845943</v>
      </c>
      <c r="O45" s="5" t="n">
        <f aca="false">ABS(N45)</f>
        <v>608.648523845943</v>
      </c>
      <c r="P45" s="20" t="n">
        <f aca="false">N45/L45</f>
        <v>0.00102778248757728</v>
      </c>
    </row>
    <row r="46" customFormat="false" ht="15" hidden="false" customHeight="false" outlineLevel="0" collapsed="false">
      <c r="A46" s="7" t="s">
        <v>38</v>
      </c>
      <c r="B46" s="7" t="s">
        <v>20</v>
      </c>
      <c r="C46" s="7" t="s">
        <v>18</v>
      </c>
      <c r="D46" s="7" t="s">
        <v>34</v>
      </c>
      <c r="E46" s="7" t="n">
        <v>3227</v>
      </c>
      <c r="F46" s="8" t="n">
        <v>46123.88</v>
      </c>
      <c r="G46" s="21" t="n">
        <v>0.143</v>
      </c>
      <c r="H46" s="7" t="n">
        <v>75.4</v>
      </c>
      <c r="I46" s="7" t="n">
        <v>0</v>
      </c>
      <c r="J46" s="7" t="n">
        <v>1</v>
      </c>
      <c r="K46" s="7" t="n">
        <v>0</v>
      </c>
      <c r="L46" s="8" t="n">
        <v>532644.46</v>
      </c>
      <c r="M46" s="8" t="n">
        <f aca="false">'6. Multiple Regression'!$B$14+'6. Multiple Regression'!$B$15*E46+'6. Multiple Regression'!$B$16*F46+'6. Multiple Regression'!$B$17*G46+'6. Multiple Regression'!$B$18*H46+'6. Multiple Regression'!$B$19*I46+'6. Multiple Regression'!$B$20*J46+'6. Multiple Regression'!$B$21*K46</f>
        <v>528603.685615849</v>
      </c>
      <c r="N46" s="8" t="n">
        <f aca="false">L46-M46</f>
        <v>4040.77438415098</v>
      </c>
      <c r="O46" s="8" t="n">
        <f aca="false">ABS(N46)</f>
        <v>4040.77438415098</v>
      </c>
      <c r="P46" s="22" t="n">
        <f aca="false">N46/L46</f>
        <v>0.00758625065611493</v>
      </c>
    </row>
    <row r="47" customFormat="false" ht="15" hidden="false" customHeight="false" outlineLevel="0" collapsed="false">
      <c r="A47" s="4" t="s">
        <v>38</v>
      </c>
      <c r="B47" s="4" t="s">
        <v>21</v>
      </c>
      <c r="C47" s="4" t="s">
        <v>18</v>
      </c>
      <c r="D47" s="4" t="s">
        <v>34</v>
      </c>
      <c r="E47" s="4" t="n">
        <v>3360</v>
      </c>
      <c r="F47" s="5" t="n">
        <v>68077.54</v>
      </c>
      <c r="G47" s="19" t="n">
        <v>0.128</v>
      </c>
      <c r="H47" s="4" t="n">
        <v>88.2</v>
      </c>
      <c r="I47" s="4" t="n">
        <v>0</v>
      </c>
      <c r="J47" s="4" t="n">
        <v>1</v>
      </c>
      <c r="K47" s="4" t="n">
        <v>0</v>
      </c>
      <c r="L47" s="5" t="n">
        <v>657429.18</v>
      </c>
      <c r="M47" s="5" t="n">
        <f aca="false">'6. Multiple Regression'!$B$14+'6. Multiple Regression'!$B$15*E47+'6. Multiple Regression'!$B$16*F47+'6. Multiple Regression'!$B$17*G47+'6. Multiple Regression'!$B$18*H47+'6. Multiple Regression'!$B$19*I47+'6. Multiple Regression'!$B$20*J47+'6. Multiple Regression'!$B$21*K47</f>
        <v>597967.005663284</v>
      </c>
      <c r="N47" s="5" t="n">
        <f aca="false">L47-M47</f>
        <v>59462.1743367162</v>
      </c>
      <c r="O47" s="5" t="n">
        <f aca="false">ABS(N47)</f>
        <v>59462.1743367162</v>
      </c>
      <c r="P47" s="20" t="n">
        <f aca="false">N47/L47</f>
        <v>0.0904465091383929</v>
      </c>
    </row>
    <row r="48" customFormat="false" ht="15" hidden="false" customHeight="false" outlineLevel="0" collapsed="false">
      <c r="A48" s="7" t="s">
        <v>38</v>
      </c>
      <c r="B48" s="7" t="s">
        <v>22</v>
      </c>
      <c r="C48" s="7" t="s">
        <v>18</v>
      </c>
      <c r="D48" s="7" t="s">
        <v>34</v>
      </c>
      <c r="E48" s="7" t="n">
        <v>3642</v>
      </c>
      <c r="F48" s="8" t="n">
        <v>64882.14</v>
      </c>
      <c r="G48" s="21" t="n">
        <v>0.019</v>
      </c>
      <c r="H48" s="7" t="n">
        <v>87.8</v>
      </c>
      <c r="I48" s="7" t="n">
        <v>0</v>
      </c>
      <c r="J48" s="7" t="n">
        <v>1</v>
      </c>
      <c r="K48" s="7" t="n">
        <v>0</v>
      </c>
      <c r="L48" s="8" t="n">
        <v>605178</v>
      </c>
      <c r="M48" s="8" t="n">
        <f aca="false">'6. Multiple Regression'!$B$14+'6. Multiple Regression'!$B$15*E48+'6. Multiple Regression'!$B$16*F48+'6. Multiple Regression'!$B$17*G48+'6. Multiple Regression'!$B$18*H48+'6. Multiple Regression'!$B$19*I48+'6. Multiple Regression'!$B$20*J48+'6. Multiple Regression'!$B$21*K48</f>
        <v>608958.041215217</v>
      </c>
      <c r="N48" s="8" t="n">
        <f aca="false">L48-M48</f>
        <v>-3780.04121521697</v>
      </c>
      <c r="O48" s="8" t="n">
        <f aca="false">ABS(N48)</f>
        <v>3780.04121521697</v>
      </c>
      <c r="P48" s="22" t="n">
        <f aca="false">N48/L48</f>
        <v>-0.00624616429416961</v>
      </c>
    </row>
    <row r="49" customFormat="false" ht="15" hidden="false" customHeight="false" outlineLevel="0" collapsed="false">
      <c r="A49" s="4" t="s">
        <v>39</v>
      </c>
      <c r="B49" s="4" t="s">
        <v>17</v>
      </c>
      <c r="C49" s="4" t="s">
        <v>33</v>
      </c>
      <c r="D49" s="4" t="s">
        <v>19</v>
      </c>
      <c r="E49" s="4" t="n">
        <v>5145</v>
      </c>
      <c r="F49" s="5" t="n">
        <v>138855.51</v>
      </c>
      <c r="G49" s="19" t="n">
        <v>0.06</v>
      </c>
      <c r="H49" s="4" t="n">
        <v>88.2</v>
      </c>
      <c r="I49" s="4" t="n">
        <v>0</v>
      </c>
      <c r="J49" s="4" t="n">
        <v>0</v>
      </c>
      <c r="K49" s="4" t="n">
        <v>1</v>
      </c>
      <c r="L49" s="5" t="n">
        <v>595467.6</v>
      </c>
      <c r="M49" s="5" t="n">
        <f aca="false">'6. Multiple Regression'!$B$14+'6. Multiple Regression'!$B$15*E49+'6. Multiple Regression'!$B$16*F49+'6. Multiple Regression'!$B$17*G49+'6. Multiple Regression'!$B$18*H49+'6. Multiple Regression'!$B$19*I49+'6. Multiple Regression'!$B$20*J49+'6. Multiple Regression'!$B$21*K49</f>
        <v>716546.50059721</v>
      </c>
      <c r="N49" s="5" t="n">
        <f aca="false">L49-M49</f>
        <v>-121078.90059721</v>
      </c>
      <c r="O49" s="5" t="n">
        <f aca="false">ABS(N49)</f>
        <v>121078.90059721</v>
      </c>
      <c r="P49" s="20" t="n">
        <f aca="false">N49/L49</f>
        <v>-0.203334153860277</v>
      </c>
    </row>
    <row r="50" customFormat="false" ht="15" hidden="false" customHeight="false" outlineLevel="0" collapsed="false">
      <c r="A50" s="7" t="s">
        <v>39</v>
      </c>
      <c r="B50" s="7" t="s">
        <v>20</v>
      </c>
      <c r="C50" s="7" t="s">
        <v>33</v>
      </c>
      <c r="D50" s="7" t="s">
        <v>19</v>
      </c>
      <c r="E50" s="7" t="n">
        <v>4460</v>
      </c>
      <c r="F50" s="8" t="n">
        <v>63630.21</v>
      </c>
      <c r="G50" s="21" t="n">
        <v>0.235</v>
      </c>
      <c r="H50" s="7" t="n">
        <v>98.6</v>
      </c>
      <c r="I50" s="7" t="n">
        <v>0</v>
      </c>
      <c r="J50" s="7" t="n">
        <v>0</v>
      </c>
      <c r="K50" s="7" t="n">
        <v>1</v>
      </c>
      <c r="L50" s="8" t="n">
        <v>599603.4</v>
      </c>
      <c r="M50" s="8" t="n">
        <f aca="false">'6. Multiple Regression'!$B$14+'6. Multiple Regression'!$B$15*E50+'6. Multiple Regression'!$B$16*F50+'6. Multiple Regression'!$B$17*G50+'6. Multiple Regression'!$B$18*H50+'6. Multiple Regression'!$B$19*I50+'6. Multiple Regression'!$B$20*J50+'6. Multiple Regression'!$B$21*K50</f>
        <v>626713.116717335</v>
      </c>
      <c r="N50" s="8" t="n">
        <f aca="false">L50-M50</f>
        <v>-27109.7167173349</v>
      </c>
      <c r="O50" s="8" t="n">
        <f aca="false">ABS(N50)</f>
        <v>27109.7167173349</v>
      </c>
      <c r="P50" s="22" t="n">
        <f aca="false">N50/L50</f>
        <v>-0.045212746821207</v>
      </c>
    </row>
    <row r="51" customFormat="false" ht="15" hidden="false" customHeight="false" outlineLevel="0" collapsed="false">
      <c r="A51" s="4" t="s">
        <v>39</v>
      </c>
      <c r="B51" s="4" t="s">
        <v>21</v>
      </c>
      <c r="C51" s="4" t="s">
        <v>33</v>
      </c>
      <c r="D51" s="4" t="s">
        <v>19</v>
      </c>
      <c r="E51" s="4" t="n">
        <v>3804</v>
      </c>
      <c r="F51" s="5" t="n">
        <v>50043.65</v>
      </c>
      <c r="G51" s="19" t="n">
        <v>0.113</v>
      </c>
      <c r="H51" s="4" t="n">
        <v>90.9</v>
      </c>
      <c r="I51" s="4" t="n">
        <v>0</v>
      </c>
      <c r="J51" s="4" t="n">
        <v>0</v>
      </c>
      <c r="K51" s="4" t="n">
        <v>1</v>
      </c>
      <c r="L51" s="5" t="n">
        <v>614800.09</v>
      </c>
      <c r="M51" s="5" t="n">
        <f aca="false">'6. Multiple Regression'!$B$14+'6. Multiple Regression'!$B$15*E51+'6. Multiple Regression'!$B$16*F51+'6. Multiple Regression'!$B$17*G51+'6. Multiple Regression'!$B$18*H51+'6. Multiple Regression'!$B$19*I51+'6. Multiple Regression'!$B$20*J51+'6. Multiple Regression'!$B$21*K51</f>
        <v>572873.357981069</v>
      </c>
      <c r="N51" s="5" t="n">
        <f aca="false">L51-M51</f>
        <v>41926.732018931</v>
      </c>
      <c r="O51" s="5" t="n">
        <f aca="false">ABS(N51)</f>
        <v>41926.732018931</v>
      </c>
      <c r="P51" s="20" t="n">
        <f aca="false">N51/L51</f>
        <v>0.0681957154868519</v>
      </c>
    </row>
    <row r="52" customFormat="false" ht="15" hidden="false" customHeight="false" outlineLevel="0" collapsed="false">
      <c r="A52" s="7" t="s">
        <v>39</v>
      </c>
      <c r="B52" s="7" t="s">
        <v>22</v>
      </c>
      <c r="C52" s="7" t="s">
        <v>33</v>
      </c>
      <c r="D52" s="7" t="s">
        <v>19</v>
      </c>
      <c r="E52" s="7" t="n">
        <v>4074</v>
      </c>
      <c r="F52" s="8" t="n">
        <v>42093.84</v>
      </c>
      <c r="G52" s="21" t="n">
        <v>0.155</v>
      </c>
      <c r="H52" s="7" t="n">
        <v>88</v>
      </c>
      <c r="I52" s="7" t="n">
        <v>0</v>
      </c>
      <c r="J52" s="7" t="n">
        <v>0</v>
      </c>
      <c r="K52" s="7" t="n">
        <v>1</v>
      </c>
      <c r="L52" s="8" t="n">
        <v>585365.73</v>
      </c>
      <c r="M52" s="8" t="n">
        <f aca="false">'6. Multiple Regression'!$B$14+'6. Multiple Regression'!$B$15*E52+'6. Multiple Regression'!$B$16*F52+'6. Multiple Regression'!$B$17*G52+'6. Multiple Regression'!$B$18*H52+'6. Multiple Regression'!$B$19*I52+'6. Multiple Regression'!$B$20*J52+'6. Multiple Regression'!$B$21*K52</f>
        <v>561519.157988885</v>
      </c>
      <c r="N52" s="8" t="n">
        <f aca="false">L52-M52</f>
        <v>23846.5720111151</v>
      </c>
      <c r="O52" s="8" t="n">
        <f aca="false">ABS(N52)</f>
        <v>23846.5720111151</v>
      </c>
      <c r="P52" s="22" t="n">
        <f aca="false">N52/L52</f>
        <v>0.0407379024582036</v>
      </c>
    </row>
    <row r="53" customFormat="false" ht="15" hidden="false" customHeight="false" outlineLevel="0" collapsed="false">
      <c r="A53" s="4" t="s">
        <v>40</v>
      </c>
      <c r="B53" s="4" t="s">
        <v>17</v>
      </c>
      <c r="C53" s="4" t="s">
        <v>26</v>
      </c>
      <c r="D53" s="4" t="s">
        <v>34</v>
      </c>
      <c r="E53" s="4" t="n">
        <v>5104</v>
      </c>
      <c r="F53" s="5" t="n">
        <v>46624.05</v>
      </c>
      <c r="G53" s="19" t="n">
        <v>0.109</v>
      </c>
      <c r="H53" s="4" t="n">
        <v>97.3</v>
      </c>
      <c r="I53" s="4" t="n">
        <v>0</v>
      </c>
      <c r="J53" s="4" t="n">
        <v>1</v>
      </c>
      <c r="K53" s="4" t="n">
        <v>0</v>
      </c>
      <c r="L53" s="5" t="n">
        <v>622811.74</v>
      </c>
      <c r="M53" s="5" t="n">
        <f aca="false">'6. Multiple Regression'!$B$14+'6. Multiple Regression'!$B$15*E53+'6. Multiple Regression'!$B$16*F53+'6. Multiple Regression'!$B$17*G53+'6. Multiple Regression'!$B$18*H53+'6. Multiple Regression'!$B$19*I53+'6. Multiple Regression'!$B$20*J53+'6. Multiple Regression'!$B$21*K53</f>
        <v>660104.211810017</v>
      </c>
      <c r="N53" s="5" t="n">
        <f aca="false">L53-M53</f>
        <v>-37292.471810017</v>
      </c>
      <c r="O53" s="5" t="n">
        <f aca="false">ABS(N53)</f>
        <v>37292.471810017</v>
      </c>
      <c r="P53" s="20" t="n">
        <f aca="false">N53/L53</f>
        <v>-0.0598775993047546</v>
      </c>
    </row>
    <row r="54" customFormat="false" ht="15" hidden="false" customHeight="false" outlineLevel="0" collapsed="false">
      <c r="A54" s="7" t="s">
        <v>40</v>
      </c>
      <c r="B54" s="7" t="s">
        <v>20</v>
      </c>
      <c r="C54" s="7" t="s">
        <v>26</v>
      </c>
      <c r="D54" s="7" t="s">
        <v>34</v>
      </c>
      <c r="E54" s="7" t="n">
        <v>5559</v>
      </c>
      <c r="F54" s="8" t="n">
        <v>49710.29</v>
      </c>
      <c r="G54" s="21" t="n">
        <v>0.218</v>
      </c>
      <c r="H54" s="7" t="n">
        <v>71</v>
      </c>
      <c r="I54" s="7" t="n">
        <v>0</v>
      </c>
      <c r="J54" s="7" t="n">
        <v>1</v>
      </c>
      <c r="K54" s="7" t="n">
        <v>0</v>
      </c>
      <c r="L54" s="8" t="n">
        <v>603297.57</v>
      </c>
      <c r="M54" s="8" t="n">
        <f aca="false">'6. Multiple Regression'!$B$14+'6. Multiple Regression'!$B$15*E54+'6. Multiple Regression'!$B$16*F54+'6. Multiple Regression'!$B$17*G54+'6. Multiple Regression'!$B$18*H54+'6. Multiple Regression'!$B$19*I54+'6. Multiple Regression'!$B$20*J54+'6. Multiple Regression'!$B$21*K54</f>
        <v>593664.692203704</v>
      </c>
      <c r="N54" s="8" t="n">
        <f aca="false">L54-M54</f>
        <v>9632.87779629591</v>
      </c>
      <c r="O54" s="8" t="n">
        <f aca="false">ABS(N54)</f>
        <v>9632.87779629591</v>
      </c>
      <c r="P54" s="22" t="n">
        <f aca="false">N54/L54</f>
        <v>0.0159670422612442</v>
      </c>
    </row>
    <row r="55" customFormat="false" ht="15" hidden="false" customHeight="false" outlineLevel="0" collapsed="false">
      <c r="A55" s="4" t="s">
        <v>40</v>
      </c>
      <c r="B55" s="4" t="s">
        <v>21</v>
      </c>
      <c r="C55" s="4" t="s">
        <v>26</v>
      </c>
      <c r="D55" s="4" t="s">
        <v>34</v>
      </c>
      <c r="E55" s="4" t="n">
        <v>5150</v>
      </c>
      <c r="F55" s="5" t="n">
        <v>48287.85</v>
      </c>
      <c r="G55" s="19" t="n">
        <v>0.008</v>
      </c>
      <c r="H55" s="4" t="n">
        <v>80.4</v>
      </c>
      <c r="I55" s="4" t="n">
        <v>0</v>
      </c>
      <c r="J55" s="4" t="n">
        <v>1</v>
      </c>
      <c r="K55" s="4" t="n">
        <v>0</v>
      </c>
      <c r="L55" s="5" t="n">
        <v>625672.86</v>
      </c>
      <c r="M55" s="5" t="n">
        <f aca="false">'6. Multiple Regression'!$B$14+'6. Multiple Regression'!$B$15*E55+'6. Multiple Regression'!$B$16*F55+'6. Multiple Regression'!$B$17*G55+'6. Multiple Regression'!$B$18*H55+'6. Multiple Regression'!$B$19*I55+'6. Multiple Regression'!$B$20*J55+'6. Multiple Regression'!$B$21*K55</f>
        <v>618822.715779554</v>
      </c>
      <c r="N55" s="5" t="n">
        <f aca="false">L55-M55</f>
        <v>6850.14422044589</v>
      </c>
      <c r="O55" s="5" t="n">
        <f aca="false">ABS(N55)</f>
        <v>6850.14422044589</v>
      </c>
      <c r="P55" s="20" t="n">
        <f aca="false">N55/L55</f>
        <v>0.010948443920751</v>
      </c>
    </row>
    <row r="56" customFormat="false" ht="15" hidden="false" customHeight="false" outlineLevel="0" collapsed="false">
      <c r="A56" s="7" t="s">
        <v>40</v>
      </c>
      <c r="B56" s="7" t="s">
        <v>22</v>
      </c>
      <c r="C56" s="7" t="s">
        <v>26</v>
      </c>
      <c r="D56" s="7" t="s">
        <v>34</v>
      </c>
      <c r="E56" s="7" t="n">
        <v>7189</v>
      </c>
      <c r="F56" s="8" t="n">
        <v>65312.49</v>
      </c>
      <c r="G56" s="21" t="n">
        <v>0.05</v>
      </c>
      <c r="H56" s="7" t="n">
        <v>93.7</v>
      </c>
      <c r="I56" s="7" t="n">
        <v>0</v>
      </c>
      <c r="J56" s="7" t="n">
        <v>1</v>
      </c>
      <c r="K56" s="7" t="n">
        <v>0</v>
      </c>
      <c r="L56" s="8" t="n">
        <v>773815.14</v>
      </c>
      <c r="M56" s="8" t="n">
        <f aca="false">'6. Multiple Regression'!$B$14+'6. Multiple Regression'!$B$15*E56+'6. Multiple Regression'!$B$16*F56+'6. Multiple Regression'!$B$17*G56+'6. Multiple Regression'!$B$18*H56+'6. Multiple Regression'!$B$19*I56+'6. Multiple Regression'!$B$20*J56+'6. Multiple Regression'!$B$21*K56</f>
        <v>744747.76530722</v>
      </c>
      <c r="N56" s="8" t="n">
        <f aca="false">L56-M56</f>
        <v>29067.37469278</v>
      </c>
      <c r="O56" s="8" t="n">
        <f aca="false">ABS(N56)</f>
        <v>29067.37469278</v>
      </c>
      <c r="P56" s="22" t="n">
        <f aca="false">N56/L56</f>
        <v>0.037563719278974</v>
      </c>
    </row>
    <row r="57" customFormat="false" ht="15" hidden="false" customHeight="false" outlineLevel="0" collapsed="false">
      <c r="A57" s="4" t="s">
        <v>41</v>
      </c>
      <c r="B57" s="4" t="s">
        <v>17</v>
      </c>
      <c r="C57" s="4" t="s">
        <v>33</v>
      </c>
      <c r="D57" s="4" t="s">
        <v>24</v>
      </c>
      <c r="E57" s="4" t="n">
        <v>3279</v>
      </c>
      <c r="F57" s="5" t="n">
        <v>53015.46</v>
      </c>
      <c r="G57" s="19" t="n">
        <v>0.087</v>
      </c>
      <c r="H57" s="4" t="n">
        <v>84.3</v>
      </c>
      <c r="I57" s="4" t="n">
        <v>0</v>
      </c>
      <c r="J57" s="4" t="n">
        <v>0</v>
      </c>
      <c r="K57" s="4" t="n">
        <v>0</v>
      </c>
      <c r="L57" s="5" t="n">
        <v>463534.25</v>
      </c>
      <c r="M57" s="5" t="n">
        <f aca="false">'6. Multiple Regression'!$B$14+'6. Multiple Regression'!$B$15*E57+'6. Multiple Regression'!$B$16*F57+'6. Multiple Regression'!$B$17*G57+'6. Multiple Regression'!$B$18*H57+'6. Multiple Regression'!$B$19*I57+'6. Multiple Regression'!$B$20*J57+'6. Multiple Regression'!$B$21*K57</f>
        <v>556963.066151761</v>
      </c>
      <c r="N57" s="5" t="n">
        <f aca="false">L57-M57</f>
        <v>-93428.816151761</v>
      </c>
      <c r="O57" s="5" t="n">
        <f aca="false">ABS(N57)</f>
        <v>93428.816151761</v>
      </c>
      <c r="P57" s="20" t="n">
        <f aca="false">N57/L57</f>
        <v>-0.201557524933187</v>
      </c>
    </row>
    <row r="58" customFormat="false" ht="15" hidden="false" customHeight="false" outlineLevel="0" collapsed="false">
      <c r="A58" s="7" t="s">
        <v>41</v>
      </c>
      <c r="B58" s="7" t="s">
        <v>20</v>
      </c>
      <c r="C58" s="7" t="s">
        <v>33</v>
      </c>
      <c r="D58" s="7" t="s">
        <v>24</v>
      </c>
      <c r="E58" s="7" t="n">
        <v>5887</v>
      </c>
      <c r="F58" s="8" t="n">
        <v>99874.01</v>
      </c>
      <c r="G58" s="21" t="n">
        <v>0.262</v>
      </c>
      <c r="H58" s="7" t="n">
        <v>88.7</v>
      </c>
      <c r="I58" s="7" t="n">
        <v>0</v>
      </c>
      <c r="J58" s="7" t="n">
        <v>0</v>
      </c>
      <c r="K58" s="7" t="n">
        <v>0</v>
      </c>
      <c r="L58" s="8" t="n">
        <v>746677.75</v>
      </c>
      <c r="M58" s="8" t="n">
        <f aca="false">'6. Multiple Regression'!$B$14+'6. Multiple Regression'!$B$15*E58+'6. Multiple Regression'!$B$16*F58+'6. Multiple Regression'!$B$17*G58+'6. Multiple Regression'!$B$18*H58+'6. Multiple Regression'!$B$19*I58+'6. Multiple Regression'!$B$20*J58+'6. Multiple Regression'!$B$21*K58</f>
        <v>702267.266294936</v>
      </c>
      <c r="N58" s="8" t="n">
        <f aca="false">L58-M58</f>
        <v>44410.4837050641</v>
      </c>
      <c r="O58" s="8" t="n">
        <f aca="false">ABS(N58)</f>
        <v>44410.4837050641</v>
      </c>
      <c r="P58" s="22" t="n">
        <f aca="false">N58/L58</f>
        <v>0.0594774435224085</v>
      </c>
    </row>
    <row r="59" customFormat="false" ht="15" hidden="false" customHeight="false" outlineLevel="0" collapsed="false">
      <c r="A59" s="4" t="s">
        <v>41</v>
      </c>
      <c r="B59" s="4" t="s">
        <v>21</v>
      </c>
      <c r="C59" s="4" t="s">
        <v>33</v>
      </c>
      <c r="D59" s="4" t="s">
        <v>24</v>
      </c>
      <c r="E59" s="4" t="n">
        <v>5516</v>
      </c>
      <c r="F59" s="5" t="n">
        <v>81195.5</v>
      </c>
      <c r="G59" s="19" t="n">
        <v>0.106</v>
      </c>
      <c r="H59" s="4" t="n">
        <v>88</v>
      </c>
      <c r="I59" s="4" t="n">
        <v>0</v>
      </c>
      <c r="J59" s="4" t="n">
        <v>0</v>
      </c>
      <c r="K59" s="4" t="n">
        <v>0</v>
      </c>
      <c r="L59" s="5" t="n">
        <v>720852.5</v>
      </c>
      <c r="M59" s="5" t="n">
        <f aca="false">'6. Multiple Regression'!$B$14+'6. Multiple Regression'!$B$15*E59+'6. Multiple Regression'!$B$16*F59+'6. Multiple Regression'!$B$17*G59+'6. Multiple Regression'!$B$18*H59+'6. Multiple Regression'!$B$19*I59+'6. Multiple Regression'!$B$20*J59+'6. Multiple Regression'!$B$21*K59</f>
        <v>675098.908273178</v>
      </c>
      <c r="N59" s="5" t="n">
        <f aca="false">L59-M59</f>
        <v>45753.5917268221</v>
      </c>
      <c r="O59" s="5" t="n">
        <f aca="false">ABS(N59)</f>
        <v>45753.5917268221</v>
      </c>
      <c r="P59" s="20" t="n">
        <f aca="false">N59/L59</f>
        <v>0.063471503153311</v>
      </c>
    </row>
    <row r="60" customFormat="false" ht="15" hidden="false" customHeight="false" outlineLevel="0" collapsed="false">
      <c r="A60" s="7" t="s">
        <v>41</v>
      </c>
      <c r="B60" s="7" t="s">
        <v>22</v>
      </c>
      <c r="C60" s="7" t="s">
        <v>33</v>
      </c>
      <c r="D60" s="7" t="s">
        <v>24</v>
      </c>
      <c r="E60" s="7" t="n">
        <v>2863</v>
      </c>
      <c r="F60" s="8" t="n">
        <v>27808.6</v>
      </c>
      <c r="G60" s="21" t="n">
        <v>0.08</v>
      </c>
      <c r="H60" s="7" t="n">
        <v>89.3</v>
      </c>
      <c r="I60" s="7" t="n">
        <v>0</v>
      </c>
      <c r="J60" s="7" t="n">
        <v>0</v>
      </c>
      <c r="K60" s="7" t="n">
        <v>0</v>
      </c>
      <c r="L60" s="8" t="n">
        <v>487464.91</v>
      </c>
      <c r="M60" s="8" t="n">
        <f aca="false">'6. Multiple Regression'!$B$14+'6. Multiple Regression'!$B$15*E60+'6. Multiple Regression'!$B$16*F60+'6. Multiple Regression'!$B$17*G60+'6. Multiple Regression'!$B$18*H60+'6. Multiple Regression'!$B$19*I60+'6. Multiple Regression'!$B$20*J60+'6. Multiple Regression'!$B$21*K60</f>
        <v>528998.67896334</v>
      </c>
      <c r="N60" s="8" t="n">
        <f aca="false">L60-M60</f>
        <v>-41533.76896334</v>
      </c>
      <c r="O60" s="8" t="n">
        <f aca="false">ABS(N60)</f>
        <v>41533.76896334</v>
      </c>
      <c r="P60" s="22" t="n">
        <f aca="false">N60/L60</f>
        <v>-0.0852036077085836</v>
      </c>
    </row>
    <row r="61" customFormat="false" ht="15" hidden="false" customHeight="false" outlineLevel="0" collapsed="false">
      <c r="A61" s="4" t="s">
        <v>42</v>
      </c>
      <c r="B61" s="4" t="s">
        <v>17</v>
      </c>
      <c r="C61" s="4" t="s">
        <v>18</v>
      </c>
      <c r="D61" s="4" t="s">
        <v>27</v>
      </c>
      <c r="E61" s="4" t="n">
        <v>2378</v>
      </c>
      <c r="F61" s="5" t="n">
        <v>19365.06</v>
      </c>
      <c r="G61" s="19" t="n">
        <v>0</v>
      </c>
      <c r="H61" s="4" t="n">
        <v>94.8</v>
      </c>
      <c r="I61" s="4" t="n">
        <v>1</v>
      </c>
      <c r="J61" s="4" t="n">
        <v>0</v>
      </c>
      <c r="K61" s="4" t="n">
        <v>0</v>
      </c>
      <c r="L61" s="5" t="n">
        <v>518049.26</v>
      </c>
      <c r="M61" s="5" t="n">
        <f aca="false">'6. Multiple Regression'!$B$14+'6. Multiple Regression'!$B$15*E61+'6. Multiple Regression'!$B$16*F61+'6. Multiple Regression'!$B$17*G61+'6. Multiple Regression'!$B$18*H61+'6. Multiple Regression'!$B$19*I61+'6. Multiple Regression'!$B$20*J61+'6. Multiple Regression'!$B$21*K61</f>
        <v>545956.51125758</v>
      </c>
      <c r="N61" s="5" t="n">
        <f aca="false">L61-M61</f>
        <v>-27907.25125758</v>
      </c>
      <c r="O61" s="5" t="n">
        <f aca="false">ABS(N61)</f>
        <v>27907.25125758</v>
      </c>
      <c r="P61" s="20" t="n">
        <f aca="false">N61/L61</f>
        <v>-0.0538698795894043</v>
      </c>
    </row>
    <row r="62" customFormat="false" ht="15" hidden="false" customHeight="false" outlineLevel="0" collapsed="false">
      <c r="A62" s="7" t="s">
        <v>42</v>
      </c>
      <c r="B62" s="7" t="s">
        <v>20</v>
      </c>
      <c r="C62" s="7" t="s">
        <v>18</v>
      </c>
      <c r="D62" s="7" t="s">
        <v>27</v>
      </c>
      <c r="E62" s="7" t="n">
        <v>2515</v>
      </c>
      <c r="F62" s="8" t="n">
        <v>59405.68</v>
      </c>
      <c r="G62" s="21" t="n">
        <v>0.039</v>
      </c>
      <c r="H62" s="7" t="n">
        <v>76</v>
      </c>
      <c r="I62" s="7" t="n">
        <v>1</v>
      </c>
      <c r="J62" s="7" t="n">
        <v>0</v>
      </c>
      <c r="K62" s="7" t="n">
        <v>0</v>
      </c>
      <c r="L62" s="8" t="n">
        <v>500298.48</v>
      </c>
      <c r="M62" s="8" t="n">
        <f aca="false">'6. Multiple Regression'!$B$14+'6. Multiple Regression'!$B$15*E62+'6. Multiple Regression'!$B$16*F62+'6. Multiple Regression'!$B$17*G62+'6. Multiple Regression'!$B$18*H62+'6. Multiple Regression'!$B$19*I62+'6. Multiple Regression'!$B$20*J62+'6. Multiple Regression'!$B$21*K62</f>
        <v>538515.206343697</v>
      </c>
      <c r="N62" s="8" t="n">
        <f aca="false">L62-M62</f>
        <v>-38216.7263436971</v>
      </c>
      <c r="O62" s="8" t="n">
        <f aca="false">ABS(N62)</f>
        <v>38216.7263436971</v>
      </c>
      <c r="P62" s="22" t="n">
        <f aca="false">N62/L62</f>
        <v>-0.0763878521951477</v>
      </c>
    </row>
    <row r="63" customFormat="false" ht="15" hidden="false" customHeight="false" outlineLevel="0" collapsed="false">
      <c r="A63" s="4" t="s">
        <v>42</v>
      </c>
      <c r="B63" s="4" t="s">
        <v>21</v>
      </c>
      <c r="C63" s="4" t="s">
        <v>18</v>
      </c>
      <c r="D63" s="4" t="s">
        <v>27</v>
      </c>
      <c r="E63" s="4" t="n">
        <v>4022</v>
      </c>
      <c r="F63" s="5" t="n">
        <v>118910.48</v>
      </c>
      <c r="G63" s="19" t="n">
        <v>0.137</v>
      </c>
      <c r="H63" s="4" t="n">
        <v>87.1</v>
      </c>
      <c r="I63" s="4" t="n">
        <v>1</v>
      </c>
      <c r="J63" s="4" t="n">
        <v>0</v>
      </c>
      <c r="K63" s="4" t="n">
        <v>0</v>
      </c>
      <c r="L63" s="5" t="n">
        <v>617291.15</v>
      </c>
      <c r="M63" s="5" t="n">
        <f aca="false">'6. Multiple Regression'!$B$14+'6. Multiple Regression'!$B$15*E63+'6. Multiple Regression'!$B$16*F63+'6. Multiple Regression'!$B$17*G63+'6. Multiple Regression'!$B$18*H63+'6. Multiple Regression'!$B$19*I63+'6. Multiple Regression'!$B$20*J63+'6. Multiple Regression'!$B$21*K63</f>
        <v>686138.925790771</v>
      </c>
      <c r="N63" s="5" t="n">
        <f aca="false">L63-M63</f>
        <v>-68847.775790771</v>
      </c>
      <c r="O63" s="5" t="n">
        <f aca="false">ABS(N63)</f>
        <v>68847.775790771</v>
      </c>
      <c r="P63" s="20" t="n">
        <f aca="false">N63/L63</f>
        <v>-0.111532095982214</v>
      </c>
    </row>
    <row r="64" customFormat="false" ht="15" hidden="false" customHeight="false" outlineLevel="0" collapsed="false">
      <c r="A64" s="7" t="s">
        <v>42</v>
      </c>
      <c r="B64" s="7" t="s">
        <v>22</v>
      </c>
      <c r="C64" s="7" t="s">
        <v>18</v>
      </c>
      <c r="D64" s="7" t="s">
        <v>27</v>
      </c>
      <c r="E64" s="7" t="n">
        <v>4377</v>
      </c>
      <c r="F64" s="8" t="n">
        <v>52952.12</v>
      </c>
      <c r="G64" s="21" t="n">
        <v>0.092</v>
      </c>
      <c r="H64" s="7" t="n">
        <v>88.6</v>
      </c>
      <c r="I64" s="7" t="n">
        <v>1</v>
      </c>
      <c r="J64" s="7" t="n">
        <v>0</v>
      </c>
      <c r="K64" s="7" t="n">
        <v>0</v>
      </c>
      <c r="L64" s="8" t="n">
        <v>553756.43</v>
      </c>
      <c r="M64" s="8" t="n">
        <f aca="false">'6. Multiple Regression'!$B$14+'6. Multiple Regression'!$B$15*E64+'6. Multiple Regression'!$B$16*F64+'6. Multiple Regression'!$B$17*G64+'6. Multiple Regression'!$B$18*H64+'6. Multiple Regression'!$B$19*I64+'6. Multiple Regression'!$B$20*J64+'6. Multiple Regression'!$B$21*K64</f>
        <v>628369.012563956</v>
      </c>
      <c r="N64" s="8" t="n">
        <f aca="false">L64-M64</f>
        <v>-74612.582563956</v>
      </c>
      <c r="O64" s="8" t="n">
        <f aca="false">ABS(N64)</f>
        <v>74612.582563956</v>
      </c>
      <c r="P64" s="22" t="n">
        <f aca="false">N64/L64</f>
        <v>-0.134738990866356</v>
      </c>
    </row>
    <row r="65" customFormat="false" ht="15" hidden="false" customHeight="false" outlineLevel="0" collapsed="false">
      <c r="A65" s="4" t="s">
        <v>43</v>
      </c>
      <c r="B65" s="4" t="s">
        <v>17</v>
      </c>
      <c r="C65" s="4" t="s">
        <v>30</v>
      </c>
      <c r="D65" s="4" t="s">
        <v>24</v>
      </c>
      <c r="E65" s="4" t="n">
        <v>5306</v>
      </c>
      <c r="F65" s="5" t="n">
        <v>74907.98</v>
      </c>
      <c r="G65" s="19" t="n">
        <v>0.062</v>
      </c>
      <c r="H65" s="4" t="n">
        <v>95.6</v>
      </c>
      <c r="I65" s="4" t="n">
        <v>0</v>
      </c>
      <c r="J65" s="4" t="n">
        <v>0</v>
      </c>
      <c r="K65" s="4" t="n">
        <v>0</v>
      </c>
      <c r="L65" s="5" t="n">
        <v>749559.71</v>
      </c>
      <c r="M65" s="5" t="n">
        <f aca="false">'6. Multiple Regression'!$B$14+'6. Multiple Regression'!$B$15*E65+'6. Multiple Regression'!$B$16*F65+'6. Multiple Regression'!$B$17*G65+'6. Multiple Regression'!$B$18*H65+'6. Multiple Regression'!$B$19*I65+'6. Multiple Regression'!$B$20*J65+'6. Multiple Regression'!$B$21*K65</f>
        <v>686102.925539046</v>
      </c>
      <c r="N65" s="5" t="n">
        <f aca="false">L65-M65</f>
        <v>63456.7844609539</v>
      </c>
      <c r="O65" s="5" t="n">
        <f aca="false">ABS(N65)</f>
        <v>63456.7844609539</v>
      </c>
      <c r="P65" s="20" t="n">
        <f aca="false">N65/L65</f>
        <v>0.0846587451464726</v>
      </c>
    </row>
    <row r="66" customFormat="false" ht="15" hidden="false" customHeight="false" outlineLevel="0" collapsed="false">
      <c r="A66" s="7" t="s">
        <v>43</v>
      </c>
      <c r="B66" s="7" t="s">
        <v>20</v>
      </c>
      <c r="C66" s="7" t="s">
        <v>30</v>
      </c>
      <c r="D66" s="7" t="s">
        <v>24</v>
      </c>
      <c r="E66" s="7" t="n">
        <v>3928</v>
      </c>
      <c r="F66" s="8" t="n">
        <v>37284.66</v>
      </c>
      <c r="G66" s="21" t="n">
        <v>0.074</v>
      </c>
      <c r="H66" s="7" t="n">
        <v>86.5</v>
      </c>
      <c r="I66" s="7" t="n">
        <v>0</v>
      </c>
      <c r="J66" s="7" t="n">
        <v>0</v>
      </c>
      <c r="K66" s="7" t="n">
        <v>0</v>
      </c>
      <c r="L66" s="8" t="n">
        <v>615966.48</v>
      </c>
      <c r="M66" s="8" t="n">
        <f aca="false">'6. Multiple Regression'!$B$14+'6. Multiple Regression'!$B$15*E66+'6. Multiple Regression'!$B$16*F66+'6. Multiple Regression'!$B$17*G66+'6. Multiple Regression'!$B$18*H66+'6. Multiple Regression'!$B$19*I66+'6. Multiple Regression'!$B$20*J66+'6. Multiple Regression'!$B$21*K66</f>
        <v>567845.728753542</v>
      </c>
      <c r="N66" s="8" t="n">
        <f aca="false">L66-M66</f>
        <v>48120.7512464579</v>
      </c>
      <c r="O66" s="8" t="n">
        <f aca="false">ABS(N66)</f>
        <v>48120.7512464579</v>
      </c>
      <c r="P66" s="22" t="n">
        <f aca="false">N66/L66</f>
        <v>0.0781223537463563</v>
      </c>
    </row>
    <row r="67" customFormat="false" ht="15" hidden="false" customHeight="false" outlineLevel="0" collapsed="false">
      <c r="A67" s="4" t="s">
        <v>43</v>
      </c>
      <c r="B67" s="4" t="s">
        <v>21</v>
      </c>
      <c r="C67" s="4" t="s">
        <v>30</v>
      </c>
      <c r="D67" s="4" t="s">
        <v>24</v>
      </c>
      <c r="E67" s="4" t="n">
        <v>3845</v>
      </c>
      <c r="F67" s="5" t="n">
        <v>50343.19</v>
      </c>
      <c r="G67" s="19" t="n">
        <v>0.113</v>
      </c>
      <c r="H67" s="4" t="n">
        <v>88.7</v>
      </c>
      <c r="I67" s="4" t="n">
        <v>0</v>
      </c>
      <c r="J67" s="4" t="n">
        <v>0</v>
      </c>
      <c r="K67" s="4" t="n">
        <v>0</v>
      </c>
      <c r="L67" s="5" t="n">
        <v>572011.2</v>
      </c>
      <c r="M67" s="5" t="n">
        <f aca="false">'6. Multiple Regression'!$B$14+'6. Multiple Regression'!$B$15*E67+'6. Multiple Regression'!$B$16*F67+'6. Multiple Regression'!$B$17*G67+'6. Multiple Regression'!$B$18*H67+'6. Multiple Regression'!$B$19*I67+'6. Multiple Regression'!$B$20*J67+'6. Multiple Regression'!$B$21*K67</f>
        <v>584575.927524289</v>
      </c>
      <c r="N67" s="5" t="n">
        <f aca="false">L67-M67</f>
        <v>-12564.727524289</v>
      </c>
      <c r="O67" s="5" t="n">
        <f aca="false">ABS(N67)</f>
        <v>12564.727524289</v>
      </c>
      <c r="P67" s="20" t="n">
        <f aca="false">N67/L67</f>
        <v>-0.0219658767595618</v>
      </c>
    </row>
    <row r="68" customFormat="false" ht="15" hidden="false" customHeight="false" outlineLevel="0" collapsed="false">
      <c r="A68" s="7" t="s">
        <v>43</v>
      </c>
      <c r="B68" s="7" t="s">
        <v>22</v>
      </c>
      <c r="C68" s="7" t="s">
        <v>30</v>
      </c>
      <c r="D68" s="7" t="s">
        <v>24</v>
      </c>
      <c r="E68" s="7" t="n">
        <v>6620</v>
      </c>
      <c r="F68" s="8" t="n">
        <v>74954.47</v>
      </c>
      <c r="G68" s="21" t="n">
        <v>0.054</v>
      </c>
      <c r="H68" s="7" t="n">
        <v>91.1</v>
      </c>
      <c r="I68" s="7" t="n">
        <v>0</v>
      </c>
      <c r="J68" s="7" t="n">
        <v>0</v>
      </c>
      <c r="K68" s="7" t="n">
        <v>0</v>
      </c>
      <c r="L68" s="8" t="n">
        <v>761860.19</v>
      </c>
      <c r="M68" s="8" t="n">
        <f aca="false">'6. Multiple Regression'!$B$14+'6. Multiple Regression'!$B$15*E68+'6. Multiple Regression'!$B$16*F68+'6. Multiple Regression'!$B$17*G68+'6. Multiple Regression'!$B$18*H68+'6. Multiple Regression'!$B$19*I68+'6. Multiple Regression'!$B$20*J68+'6. Multiple Regression'!$B$21*K68</f>
        <v>717358.123261612</v>
      </c>
      <c r="N68" s="8" t="n">
        <f aca="false">L68-M68</f>
        <v>44502.066738388</v>
      </c>
      <c r="O68" s="8" t="n">
        <f aca="false">ABS(N68)</f>
        <v>44502.066738388</v>
      </c>
      <c r="P68" s="22" t="n">
        <f aca="false">N68/L68</f>
        <v>0.0584123797548577</v>
      </c>
    </row>
    <row r="69" customFormat="false" ht="15" hidden="false" customHeight="false" outlineLevel="0" collapsed="false">
      <c r="A69" s="4" t="s">
        <v>44</v>
      </c>
      <c r="B69" s="4" t="s">
        <v>17</v>
      </c>
      <c r="C69" s="4" t="s">
        <v>33</v>
      </c>
      <c r="D69" s="4" t="s">
        <v>24</v>
      </c>
      <c r="E69" s="4" t="n">
        <v>9175</v>
      </c>
      <c r="F69" s="5" t="n">
        <v>70040.31</v>
      </c>
      <c r="G69" s="19" t="n">
        <v>0.107</v>
      </c>
      <c r="H69" s="4" t="n">
        <v>95.1</v>
      </c>
      <c r="I69" s="4" t="n">
        <v>0</v>
      </c>
      <c r="J69" s="4" t="n">
        <v>0</v>
      </c>
      <c r="K69" s="4" t="n">
        <v>0</v>
      </c>
      <c r="L69" s="5" t="n">
        <v>784502.68</v>
      </c>
      <c r="M69" s="5" t="n">
        <f aca="false">'6. Multiple Regression'!$B$14+'6. Multiple Regression'!$B$15*E69+'6. Multiple Regression'!$B$16*F69+'6. Multiple Regression'!$B$17*G69+'6. Multiple Regression'!$B$18*H69+'6. Multiple Regression'!$B$19*I69+'6. Multiple Regression'!$B$20*J69+'6. Multiple Regression'!$B$21*K69</f>
        <v>806525.239008071</v>
      </c>
      <c r="N69" s="5" t="n">
        <f aca="false">L69-M69</f>
        <v>-22022.5590080709</v>
      </c>
      <c r="O69" s="5" t="n">
        <f aca="false">ABS(N69)</f>
        <v>22022.5590080709</v>
      </c>
      <c r="P69" s="20" t="n">
        <f aca="false">N69/L69</f>
        <v>-0.0280719997133354</v>
      </c>
    </row>
    <row r="70" customFormat="false" ht="15" hidden="false" customHeight="false" outlineLevel="0" collapsed="false">
      <c r="A70" s="7" t="s">
        <v>44</v>
      </c>
      <c r="B70" s="7" t="s">
        <v>20</v>
      </c>
      <c r="C70" s="7" t="s">
        <v>33</v>
      </c>
      <c r="D70" s="7" t="s">
        <v>24</v>
      </c>
      <c r="E70" s="7" t="n">
        <v>7940</v>
      </c>
      <c r="F70" s="8" t="n">
        <v>51148.69</v>
      </c>
      <c r="G70" s="21" t="n">
        <v>0.156</v>
      </c>
      <c r="H70" s="7" t="n">
        <v>93.3</v>
      </c>
      <c r="I70" s="7" t="n">
        <v>0</v>
      </c>
      <c r="J70" s="7" t="n">
        <v>0</v>
      </c>
      <c r="K70" s="7" t="n">
        <v>0</v>
      </c>
      <c r="L70" s="8" t="n">
        <v>717141.55</v>
      </c>
      <c r="M70" s="8" t="n">
        <f aca="false">'6. Multiple Regression'!$B$14+'6. Multiple Regression'!$B$15*E70+'6. Multiple Regression'!$B$16*F70+'6. Multiple Regression'!$B$17*G70+'6. Multiple Regression'!$B$18*H70+'6. Multiple Regression'!$B$19*I70+'6. Multiple Regression'!$B$20*J70+'6. Multiple Regression'!$B$21*K70</f>
        <v>734642.376155498</v>
      </c>
      <c r="N70" s="8" t="n">
        <f aca="false">L70-M70</f>
        <v>-17500.8261554979</v>
      </c>
      <c r="O70" s="8" t="n">
        <f aca="false">ABS(N70)</f>
        <v>17500.8261554979</v>
      </c>
      <c r="P70" s="22" t="n">
        <f aca="false">N70/L70</f>
        <v>-0.024403586928547</v>
      </c>
    </row>
    <row r="71" customFormat="false" ht="15" hidden="false" customHeight="false" outlineLevel="0" collapsed="false">
      <c r="A71" s="4" t="s">
        <v>44</v>
      </c>
      <c r="B71" s="4" t="s">
        <v>21</v>
      </c>
      <c r="C71" s="4" t="s">
        <v>33</v>
      </c>
      <c r="D71" s="4" t="s">
        <v>24</v>
      </c>
      <c r="E71" s="4" t="n">
        <v>9628</v>
      </c>
      <c r="F71" s="5" t="n">
        <v>79346.1</v>
      </c>
      <c r="G71" s="19" t="n">
        <v>0.102</v>
      </c>
      <c r="H71" s="4" t="n">
        <v>99</v>
      </c>
      <c r="I71" s="4" t="n">
        <v>0</v>
      </c>
      <c r="J71" s="4" t="n">
        <v>0</v>
      </c>
      <c r="K71" s="4" t="n">
        <v>0</v>
      </c>
      <c r="L71" s="5" t="n">
        <v>685379.08</v>
      </c>
      <c r="M71" s="5" t="n">
        <f aca="false">'6. Multiple Regression'!$B$14+'6. Multiple Regression'!$B$15*E71+'6. Multiple Regression'!$B$16*F71+'6. Multiple Regression'!$B$17*G71+'6. Multiple Regression'!$B$18*H71+'6. Multiple Regression'!$B$19*I71+'6. Multiple Regression'!$B$20*J71+'6. Multiple Regression'!$B$21*K71</f>
        <v>844620.314861726</v>
      </c>
      <c r="N71" s="5" t="n">
        <f aca="false">L71-M71</f>
        <v>-159241.234861726</v>
      </c>
      <c r="O71" s="5" t="n">
        <f aca="false">ABS(N71)</f>
        <v>159241.234861726</v>
      </c>
      <c r="P71" s="20" t="n">
        <f aca="false">N71/L71</f>
        <v>-0.232340378497876</v>
      </c>
    </row>
    <row r="72" customFormat="false" ht="15" hidden="false" customHeight="false" outlineLevel="0" collapsed="false">
      <c r="A72" s="7" t="s">
        <v>44</v>
      </c>
      <c r="B72" s="7" t="s">
        <v>22</v>
      </c>
      <c r="C72" s="7" t="s">
        <v>33</v>
      </c>
      <c r="D72" s="7" t="s">
        <v>24</v>
      </c>
      <c r="E72" s="7" t="n">
        <v>8296</v>
      </c>
      <c r="F72" s="8" t="n">
        <v>42018.4</v>
      </c>
      <c r="G72" s="21" t="n">
        <v>0.115</v>
      </c>
      <c r="H72" s="7" t="n">
        <v>91.8</v>
      </c>
      <c r="I72" s="7" t="n">
        <v>0</v>
      </c>
      <c r="J72" s="7" t="n">
        <v>0</v>
      </c>
      <c r="K72" s="7" t="n">
        <v>0</v>
      </c>
      <c r="L72" s="8" t="n">
        <v>740496.65</v>
      </c>
      <c r="M72" s="8" t="n">
        <f aca="false">'6. Multiple Regression'!$B$14+'6. Multiple Regression'!$B$15*E72+'6. Multiple Regression'!$B$16*F72+'6. Multiple Regression'!$B$17*G72+'6. Multiple Regression'!$B$18*H72+'6. Multiple Regression'!$B$19*I72+'6. Multiple Regression'!$B$20*J72+'6. Multiple Regression'!$B$21*K72</f>
        <v>733899.574779445</v>
      </c>
      <c r="N72" s="8" t="n">
        <f aca="false">L72-M72</f>
        <v>6597.07522055507</v>
      </c>
      <c r="O72" s="8" t="n">
        <f aca="false">ABS(N72)</f>
        <v>6597.07522055507</v>
      </c>
      <c r="P72" s="22" t="n">
        <f aca="false">N72/L72</f>
        <v>0.00890898725950356</v>
      </c>
    </row>
    <row r="73" customFormat="false" ht="15" hidden="false" customHeight="false" outlineLevel="0" collapsed="false">
      <c r="A73" s="4" t="s">
        <v>45</v>
      </c>
      <c r="B73" s="4" t="s">
        <v>17</v>
      </c>
      <c r="C73" s="4" t="s">
        <v>18</v>
      </c>
      <c r="D73" s="4" t="s">
        <v>24</v>
      </c>
      <c r="E73" s="4" t="n">
        <v>3595</v>
      </c>
      <c r="F73" s="5" t="n">
        <v>70937.24</v>
      </c>
      <c r="G73" s="19" t="n">
        <v>0.141</v>
      </c>
      <c r="H73" s="4" t="n">
        <v>88.9</v>
      </c>
      <c r="I73" s="4" t="n">
        <v>0</v>
      </c>
      <c r="J73" s="4" t="n">
        <v>0</v>
      </c>
      <c r="K73" s="4" t="n">
        <v>0</v>
      </c>
      <c r="L73" s="5" t="n">
        <v>661927.14</v>
      </c>
      <c r="M73" s="5" t="n">
        <f aca="false">'6. Multiple Regression'!$B$14+'6. Multiple Regression'!$B$15*E73+'6. Multiple Regression'!$B$16*F73+'6. Multiple Regression'!$B$17*G73+'6. Multiple Regression'!$B$18*H73+'6. Multiple Regression'!$B$19*I73+'6. Multiple Regression'!$B$20*J73+'6. Multiple Regression'!$B$21*K73</f>
        <v>599112.503937703</v>
      </c>
      <c r="N73" s="5" t="n">
        <f aca="false">L73-M73</f>
        <v>62814.636062297</v>
      </c>
      <c r="O73" s="5" t="n">
        <f aca="false">ABS(N73)</f>
        <v>62814.636062297</v>
      </c>
      <c r="P73" s="20" t="n">
        <f aca="false">N73/L73</f>
        <v>0.0948966015539067</v>
      </c>
    </row>
    <row r="74" customFormat="false" ht="15" hidden="false" customHeight="false" outlineLevel="0" collapsed="false">
      <c r="A74" s="7" t="s">
        <v>45</v>
      </c>
      <c r="B74" s="7" t="s">
        <v>20</v>
      </c>
      <c r="C74" s="7" t="s">
        <v>18</v>
      </c>
      <c r="D74" s="7" t="s">
        <v>24</v>
      </c>
      <c r="E74" s="7" t="n">
        <v>2834</v>
      </c>
      <c r="F74" s="8" t="n">
        <v>36813.45</v>
      </c>
      <c r="G74" s="21" t="n">
        <v>0.191</v>
      </c>
      <c r="H74" s="7" t="n">
        <v>81.8</v>
      </c>
      <c r="I74" s="7" t="n">
        <v>0</v>
      </c>
      <c r="J74" s="7" t="n">
        <v>0</v>
      </c>
      <c r="K74" s="7" t="n">
        <v>0</v>
      </c>
      <c r="L74" s="8" t="n">
        <v>479050.5</v>
      </c>
      <c r="M74" s="8" t="n">
        <f aca="false">'6. Multiple Regression'!$B$14+'6. Multiple Regression'!$B$15*E74+'6. Multiple Regression'!$B$16*F74+'6. Multiple Regression'!$B$17*G74+'6. Multiple Regression'!$B$18*H74+'6. Multiple Regression'!$B$19*I74+'6. Multiple Regression'!$B$20*J74+'6. Multiple Regression'!$B$21*K74</f>
        <v>509468.323501883</v>
      </c>
      <c r="N74" s="8" t="n">
        <f aca="false">L74-M74</f>
        <v>-30417.823501883</v>
      </c>
      <c r="O74" s="8" t="n">
        <f aca="false">ABS(N74)</f>
        <v>30417.823501883</v>
      </c>
      <c r="P74" s="22" t="n">
        <f aca="false">N74/L74</f>
        <v>-0.063496068789998</v>
      </c>
    </row>
    <row r="75" customFormat="false" ht="15" hidden="false" customHeight="false" outlineLevel="0" collapsed="false">
      <c r="A75" s="4" t="s">
        <v>45</v>
      </c>
      <c r="B75" s="4" t="s">
        <v>21</v>
      </c>
      <c r="C75" s="4" t="s">
        <v>18</v>
      </c>
      <c r="D75" s="4" t="s">
        <v>24</v>
      </c>
      <c r="E75" s="4" t="n">
        <v>3193</v>
      </c>
      <c r="F75" s="5" t="n">
        <v>60571.82</v>
      </c>
      <c r="G75" s="19" t="n">
        <v>0.197</v>
      </c>
      <c r="H75" s="4" t="n">
        <v>99</v>
      </c>
      <c r="I75" s="4" t="n">
        <v>0</v>
      </c>
      <c r="J75" s="4" t="n">
        <v>0</v>
      </c>
      <c r="K75" s="4" t="n">
        <v>0</v>
      </c>
      <c r="L75" s="5" t="n">
        <v>605023.87</v>
      </c>
      <c r="M75" s="5" t="n">
        <f aca="false">'6. Multiple Regression'!$B$14+'6. Multiple Regression'!$B$15*E75+'6. Multiple Regression'!$B$16*F75+'6. Multiple Regression'!$B$17*G75+'6. Multiple Regression'!$B$18*H75+'6. Multiple Regression'!$B$19*I75+'6. Multiple Regression'!$B$20*J75+'6. Multiple Regression'!$B$21*K75</f>
        <v>600511.100107671</v>
      </c>
      <c r="N75" s="5" t="n">
        <f aca="false">L75-M75</f>
        <v>4512.769892329</v>
      </c>
      <c r="O75" s="5" t="n">
        <f aca="false">ABS(N75)</f>
        <v>4512.769892329</v>
      </c>
      <c r="P75" s="20" t="n">
        <f aca="false">N75/L75</f>
        <v>0.00745882950424584</v>
      </c>
    </row>
    <row r="76" customFormat="false" ht="15" hidden="false" customHeight="false" outlineLevel="0" collapsed="false">
      <c r="A76" s="7" t="s">
        <v>45</v>
      </c>
      <c r="B76" s="7" t="s">
        <v>22</v>
      </c>
      <c r="C76" s="7" t="s">
        <v>18</v>
      </c>
      <c r="D76" s="7" t="s">
        <v>24</v>
      </c>
      <c r="E76" s="7" t="n">
        <v>5485</v>
      </c>
      <c r="F76" s="8" t="n">
        <v>55081.16</v>
      </c>
      <c r="G76" s="21" t="n">
        <v>0.036</v>
      </c>
      <c r="H76" s="7" t="n">
        <v>88</v>
      </c>
      <c r="I76" s="7" t="n">
        <v>0</v>
      </c>
      <c r="J76" s="7" t="n">
        <v>0</v>
      </c>
      <c r="K76" s="7" t="n">
        <v>0</v>
      </c>
      <c r="L76" s="8" t="n">
        <v>674774.09</v>
      </c>
      <c r="M76" s="8" t="n">
        <f aca="false">'6. Multiple Regression'!$B$14+'6. Multiple Regression'!$B$15*E76+'6. Multiple Regression'!$B$16*F76+'6. Multiple Regression'!$B$17*G76+'6. Multiple Regression'!$B$18*H76+'6. Multiple Regression'!$B$19*I76+'6. Multiple Regression'!$B$20*J76+'6. Multiple Regression'!$B$21*K76</f>
        <v>647743.687734148</v>
      </c>
      <c r="N76" s="8" t="n">
        <f aca="false">L76-M76</f>
        <v>27030.402265852</v>
      </c>
      <c r="O76" s="8" t="n">
        <f aca="false">ABS(N76)</f>
        <v>27030.402265852</v>
      </c>
      <c r="P76" s="22" t="n">
        <f aca="false">N76/L76</f>
        <v>0.0400584472143143</v>
      </c>
    </row>
    <row r="77" customFormat="false" ht="15" hidden="false" customHeight="false" outlineLevel="0" collapsed="false">
      <c r="A77" s="4" t="s">
        <v>46</v>
      </c>
      <c r="B77" s="4" t="s">
        <v>17</v>
      </c>
      <c r="C77" s="4" t="s">
        <v>18</v>
      </c>
      <c r="D77" s="4" t="s">
        <v>19</v>
      </c>
      <c r="E77" s="4" t="n">
        <v>5918</v>
      </c>
      <c r="F77" s="5" t="n">
        <v>46201.46</v>
      </c>
      <c r="G77" s="19" t="n">
        <v>0.277</v>
      </c>
      <c r="H77" s="4" t="n">
        <v>78.8</v>
      </c>
      <c r="I77" s="4" t="n">
        <v>0</v>
      </c>
      <c r="J77" s="4" t="n">
        <v>0</v>
      </c>
      <c r="K77" s="4" t="n">
        <v>1</v>
      </c>
      <c r="L77" s="5" t="n">
        <v>616069.41</v>
      </c>
      <c r="M77" s="5" t="n">
        <f aca="false">'6. Multiple Regression'!$B$14+'6. Multiple Regression'!$B$15*E77+'6. Multiple Regression'!$B$16*F77+'6. Multiple Regression'!$B$17*G77+'6. Multiple Regression'!$B$18*H77+'6. Multiple Regression'!$B$19*I77+'6. Multiple Regression'!$B$20*J77+'6. Multiple Regression'!$B$21*K77</f>
        <v>593584.384233231</v>
      </c>
      <c r="N77" s="5" t="n">
        <f aca="false">L77-M77</f>
        <v>22485.025766769</v>
      </c>
      <c r="O77" s="5" t="n">
        <f aca="false">ABS(N77)</f>
        <v>22485.025766769</v>
      </c>
      <c r="P77" s="20" t="n">
        <f aca="false">N77/L77</f>
        <v>0.0364975527136933</v>
      </c>
    </row>
    <row r="78" customFormat="false" ht="15" hidden="false" customHeight="false" outlineLevel="0" collapsed="false">
      <c r="A78" s="7" t="s">
        <v>46</v>
      </c>
      <c r="B78" s="7" t="s">
        <v>20</v>
      </c>
      <c r="C78" s="7" t="s">
        <v>18</v>
      </c>
      <c r="D78" s="7" t="s">
        <v>19</v>
      </c>
      <c r="E78" s="7" t="n">
        <v>6821</v>
      </c>
      <c r="F78" s="8" t="n">
        <v>53762.92</v>
      </c>
      <c r="G78" s="21" t="n">
        <v>0.066</v>
      </c>
      <c r="H78" s="7" t="n">
        <v>94.6</v>
      </c>
      <c r="I78" s="7" t="n">
        <v>0</v>
      </c>
      <c r="J78" s="7" t="n">
        <v>0</v>
      </c>
      <c r="K78" s="7" t="n">
        <v>1</v>
      </c>
      <c r="L78" s="8" t="n">
        <v>630829.94</v>
      </c>
      <c r="M78" s="8" t="n">
        <f aca="false">'6. Multiple Regression'!$B$14+'6. Multiple Regression'!$B$15*E78+'6. Multiple Regression'!$B$16*F78+'6. Multiple Regression'!$B$17*G78+'6. Multiple Regression'!$B$18*H78+'6. Multiple Regression'!$B$19*I78+'6. Multiple Regression'!$B$20*J78+'6. Multiple Regression'!$B$21*K78</f>
        <v>692647.353050718</v>
      </c>
      <c r="N78" s="8" t="n">
        <f aca="false">L78-M78</f>
        <v>-61817.413050718</v>
      </c>
      <c r="O78" s="8" t="n">
        <f aca="false">ABS(N78)</f>
        <v>61817.413050718</v>
      </c>
      <c r="P78" s="22" t="n">
        <f aca="false">N78/L78</f>
        <v>-0.0979937842688919</v>
      </c>
    </row>
    <row r="79" customFormat="false" ht="15" hidden="false" customHeight="false" outlineLevel="0" collapsed="false">
      <c r="A79" s="4" t="s">
        <v>46</v>
      </c>
      <c r="B79" s="4" t="s">
        <v>21</v>
      </c>
      <c r="C79" s="4" t="s">
        <v>18</v>
      </c>
      <c r="D79" s="4" t="s">
        <v>19</v>
      </c>
      <c r="E79" s="4" t="n">
        <v>6806</v>
      </c>
      <c r="F79" s="5" t="n">
        <v>70144.78</v>
      </c>
      <c r="G79" s="19" t="n">
        <v>0.178</v>
      </c>
      <c r="H79" s="4" t="n">
        <v>93.1</v>
      </c>
      <c r="I79" s="4" t="n">
        <v>0</v>
      </c>
      <c r="J79" s="4" t="n">
        <v>0</v>
      </c>
      <c r="K79" s="4" t="n">
        <v>1</v>
      </c>
      <c r="L79" s="5" t="n">
        <v>788087.68</v>
      </c>
      <c r="M79" s="5" t="n">
        <f aca="false">'6. Multiple Regression'!$B$14+'6. Multiple Regression'!$B$15*E79+'6. Multiple Regression'!$B$16*F79+'6. Multiple Regression'!$B$17*G79+'6. Multiple Regression'!$B$18*H79+'6. Multiple Regression'!$B$19*I79+'6. Multiple Regression'!$B$20*J79+'6. Multiple Regression'!$B$21*K79</f>
        <v>700134.406198254</v>
      </c>
      <c r="N79" s="5" t="n">
        <f aca="false">L79-M79</f>
        <v>87953.2738017461</v>
      </c>
      <c r="O79" s="5" t="n">
        <f aca="false">ABS(N79)</f>
        <v>87953.2738017461</v>
      </c>
      <c r="P79" s="20" t="n">
        <f aca="false">N79/L79</f>
        <v>0.111603411693666</v>
      </c>
    </row>
    <row r="80" customFormat="false" ht="15" hidden="false" customHeight="false" outlineLevel="0" collapsed="false">
      <c r="A80" s="7" t="s">
        <v>46</v>
      </c>
      <c r="B80" s="7" t="s">
        <v>22</v>
      </c>
      <c r="C80" s="7" t="s">
        <v>18</v>
      </c>
      <c r="D80" s="7" t="s">
        <v>19</v>
      </c>
      <c r="E80" s="7" t="n">
        <v>8252</v>
      </c>
      <c r="F80" s="8" t="n">
        <v>58749.63</v>
      </c>
      <c r="G80" s="21" t="n">
        <v>0.203</v>
      </c>
      <c r="H80" s="7" t="n">
        <v>85.2</v>
      </c>
      <c r="I80" s="7" t="n">
        <v>0</v>
      </c>
      <c r="J80" s="7" t="n">
        <v>0</v>
      </c>
      <c r="K80" s="7" t="n">
        <v>1</v>
      </c>
      <c r="L80" s="8" t="n">
        <v>680840.36</v>
      </c>
      <c r="M80" s="8" t="n">
        <f aca="false">'6. Multiple Regression'!$B$14+'6. Multiple Regression'!$B$15*E80+'6. Multiple Regression'!$B$16*F80+'6. Multiple Regression'!$B$17*G80+'6. Multiple Regression'!$B$18*H80+'6. Multiple Regression'!$B$19*I80+'6. Multiple Regression'!$B$20*J80+'6. Multiple Regression'!$B$21*K80</f>
        <v>710349.702026379</v>
      </c>
      <c r="N80" s="8" t="n">
        <f aca="false">L80-M80</f>
        <v>-29509.342026379</v>
      </c>
      <c r="O80" s="8" t="n">
        <f aca="false">ABS(N80)</f>
        <v>29509.342026379</v>
      </c>
      <c r="P80" s="22" t="n">
        <f aca="false">N80/L80</f>
        <v>-0.0433425274999546</v>
      </c>
    </row>
    <row r="81" customFormat="false" ht="15" hidden="false" customHeight="false" outlineLevel="0" collapsed="false">
      <c r="A81" s="4" t="s">
        <v>47</v>
      </c>
      <c r="B81" s="4" t="s">
        <v>17</v>
      </c>
      <c r="C81" s="4" t="s">
        <v>30</v>
      </c>
      <c r="D81" s="4" t="s">
        <v>24</v>
      </c>
      <c r="E81" s="4" t="n">
        <v>6662</v>
      </c>
      <c r="F81" s="5" t="n">
        <v>56973.18</v>
      </c>
      <c r="G81" s="19" t="n">
        <v>0.1</v>
      </c>
      <c r="H81" s="4" t="n">
        <v>77.7</v>
      </c>
      <c r="I81" s="4" t="n">
        <v>0</v>
      </c>
      <c r="J81" s="4" t="n">
        <v>0</v>
      </c>
      <c r="K81" s="4" t="n">
        <v>0</v>
      </c>
      <c r="L81" s="5" t="n">
        <v>643657.47</v>
      </c>
      <c r="M81" s="5" t="n">
        <f aca="false">'6. Multiple Regression'!$B$14+'6. Multiple Regression'!$B$15*E81+'6. Multiple Regression'!$B$16*F81+'6. Multiple Regression'!$B$17*G81+'6. Multiple Regression'!$B$18*H81+'6. Multiple Regression'!$B$19*I81+'6. Multiple Regression'!$B$20*J81+'6. Multiple Regression'!$B$21*K81</f>
        <v>654888.58107954</v>
      </c>
      <c r="N81" s="5" t="n">
        <f aca="false">L81-M81</f>
        <v>-11231.11107954</v>
      </c>
      <c r="O81" s="5" t="n">
        <f aca="false">ABS(N81)</f>
        <v>11231.11107954</v>
      </c>
      <c r="P81" s="20" t="n">
        <f aca="false">N81/L81</f>
        <v>-0.0174488941758727</v>
      </c>
    </row>
    <row r="82" customFormat="false" ht="15" hidden="false" customHeight="false" outlineLevel="0" collapsed="false">
      <c r="A82" s="7" t="s">
        <v>47</v>
      </c>
      <c r="B82" s="7" t="s">
        <v>20</v>
      </c>
      <c r="C82" s="7" t="s">
        <v>30</v>
      </c>
      <c r="D82" s="7" t="s">
        <v>24</v>
      </c>
      <c r="E82" s="7" t="n">
        <v>5962</v>
      </c>
      <c r="F82" s="8" t="n">
        <v>54872.82</v>
      </c>
      <c r="G82" s="21" t="n">
        <v>0.064</v>
      </c>
      <c r="H82" s="7" t="n">
        <v>85.4</v>
      </c>
      <c r="I82" s="7" t="n">
        <v>0</v>
      </c>
      <c r="J82" s="7" t="n">
        <v>0</v>
      </c>
      <c r="K82" s="7" t="n">
        <v>0</v>
      </c>
      <c r="L82" s="8" t="n">
        <v>691112.6</v>
      </c>
      <c r="M82" s="8" t="n">
        <f aca="false">'6. Multiple Regression'!$B$14+'6. Multiple Regression'!$B$15*E82+'6. Multiple Regression'!$B$16*F82+'6. Multiple Regression'!$B$17*G82+'6. Multiple Regression'!$B$18*H82+'6. Multiple Regression'!$B$19*I82+'6. Multiple Regression'!$B$20*J82+'6. Multiple Regression'!$B$21*K82</f>
        <v>654105.898680292</v>
      </c>
      <c r="N82" s="8" t="n">
        <f aca="false">L82-M82</f>
        <v>37006.7013197079</v>
      </c>
      <c r="O82" s="8" t="n">
        <f aca="false">ABS(N82)</f>
        <v>37006.7013197079</v>
      </c>
      <c r="P82" s="22" t="n">
        <f aca="false">N82/L82</f>
        <v>0.0535465585777309</v>
      </c>
    </row>
    <row r="83" customFormat="false" ht="15" hidden="false" customHeight="false" outlineLevel="0" collapsed="false">
      <c r="A83" s="4" t="s">
        <v>47</v>
      </c>
      <c r="B83" s="4" t="s">
        <v>21</v>
      </c>
      <c r="C83" s="4" t="s">
        <v>30</v>
      </c>
      <c r="D83" s="4" t="s">
        <v>24</v>
      </c>
      <c r="E83" s="4" t="n">
        <v>7470</v>
      </c>
      <c r="F83" s="5" t="n">
        <v>80562.81</v>
      </c>
      <c r="G83" s="19" t="n">
        <v>0.172</v>
      </c>
      <c r="H83" s="4" t="n">
        <v>83.5</v>
      </c>
      <c r="I83" s="4" t="n">
        <v>0</v>
      </c>
      <c r="J83" s="4" t="n">
        <v>0</v>
      </c>
      <c r="K83" s="4" t="n">
        <v>0</v>
      </c>
      <c r="L83" s="5" t="n">
        <v>776922.17</v>
      </c>
      <c r="M83" s="5" t="n">
        <f aca="false">'6. Multiple Regression'!$B$14+'6. Multiple Regression'!$B$15*E83+'6. Multiple Regression'!$B$16*F83+'6. Multiple Regression'!$B$17*G83+'6. Multiple Regression'!$B$18*H83+'6. Multiple Regression'!$B$19*I83+'6. Multiple Regression'!$B$20*J83+'6. Multiple Regression'!$B$21*K83</f>
        <v>722747.605946666</v>
      </c>
      <c r="N83" s="5" t="n">
        <f aca="false">L83-M83</f>
        <v>54174.564053334</v>
      </c>
      <c r="O83" s="5" t="n">
        <f aca="false">ABS(N83)</f>
        <v>54174.564053334</v>
      </c>
      <c r="P83" s="20" t="n">
        <f aca="false">N83/L83</f>
        <v>0.0697297182976951</v>
      </c>
    </row>
    <row r="84" customFormat="false" ht="15" hidden="false" customHeight="false" outlineLevel="0" collapsed="false">
      <c r="A84" s="7" t="s">
        <v>47</v>
      </c>
      <c r="B84" s="7" t="s">
        <v>22</v>
      </c>
      <c r="C84" s="7" t="s">
        <v>30</v>
      </c>
      <c r="D84" s="7" t="s">
        <v>24</v>
      </c>
      <c r="E84" s="7" t="n">
        <v>5974</v>
      </c>
      <c r="F84" s="8" t="n">
        <v>77999.9</v>
      </c>
      <c r="G84" s="21" t="n">
        <v>0.252</v>
      </c>
      <c r="H84" s="7" t="n">
        <v>81.3</v>
      </c>
      <c r="I84" s="7" t="n">
        <v>0</v>
      </c>
      <c r="J84" s="7" t="n">
        <v>0</v>
      </c>
      <c r="K84" s="7" t="n">
        <v>0</v>
      </c>
      <c r="L84" s="8" t="n">
        <v>636561.34</v>
      </c>
      <c r="M84" s="8" t="n">
        <f aca="false">'6. Multiple Regression'!$B$14+'6. Multiple Regression'!$B$15*E84+'6. Multiple Regression'!$B$16*F84+'6. Multiple Regression'!$B$17*G84+'6. Multiple Regression'!$B$18*H84+'6. Multiple Regression'!$B$19*I84+'6. Multiple Regression'!$B$20*J84+'6. Multiple Regression'!$B$21*K84</f>
        <v>658082.307296076</v>
      </c>
      <c r="N84" s="8" t="n">
        <f aca="false">L84-M84</f>
        <v>-21520.967296076</v>
      </c>
      <c r="O84" s="8" t="n">
        <f aca="false">ABS(N84)</f>
        <v>21520.967296076</v>
      </c>
      <c r="P84" s="22" t="n">
        <f aca="false">N84/L84</f>
        <v>-0.0338081594714439</v>
      </c>
    </row>
    <row r="85" customFormat="false" ht="15" hidden="false" customHeight="false" outlineLevel="0" collapsed="false">
      <c r="A85" s="4" t="s">
        <v>48</v>
      </c>
      <c r="B85" s="4" t="s">
        <v>17</v>
      </c>
      <c r="C85" s="4" t="s">
        <v>33</v>
      </c>
      <c r="D85" s="4" t="s">
        <v>34</v>
      </c>
      <c r="E85" s="4" t="n">
        <v>5410</v>
      </c>
      <c r="F85" s="5" t="n">
        <v>60881.01</v>
      </c>
      <c r="G85" s="19" t="n">
        <v>0.179</v>
      </c>
      <c r="H85" s="4" t="n">
        <v>83.9</v>
      </c>
      <c r="I85" s="4" t="n">
        <v>0</v>
      </c>
      <c r="J85" s="4" t="n">
        <v>1</v>
      </c>
      <c r="K85" s="4" t="n">
        <v>0</v>
      </c>
      <c r="L85" s="5" t="n">
        <v>621369.58</v>
      </c>
      <c r="M85" s="5" t="n">
        <f aca="false">'6. Multiple Regression'!$B$14+'6. Multiple Regression'!$B$15*E85+'6. Multiple Regression'!$B$16*F85+'6. Multiple Regression'!$B$17*G85+'6. Multiple Regression'!$B$18*H85+'6. Multiple Regression'!$B$19*I85+'6. Multiple Regression'!$B$20*J85+'6. Multiple Regression'!$B$21*K85</f>
        <v>642681.427888707</v>
      </c>
      <c r="N85" s="5" t="n">
        <f aca="false">L85-M85</f>
        <v>-21311.8478887071</v>
      </c>
      <c r="O85" s="5" t="n">
        <f aca="false">ABS(N85)</f>
        <v>21311.8478887071</v>
      </c>
      <c r="P85" s="20" t="n">
        <f aca="false">N85/L85</f>
        <v>-0.0342981835201959</v>
      </c>
    </row>
    <row r="86" customFormat="false" ht="15" hidden="false" customHeight="false" outlineLevel="0" collapsed="false">
      <c r="A86" s="7" t="s">
        <v>48</v>
      </c>
      <c r="B86" s="7" t="s">
        <v>20</v>
      </c>
      <c r="C86" s="7" t="s">
        <v>33</v>
      </c>
      <c r="D86" s="7" t="s">
        <v>34</v>
      </c>
      <c r="E86" s="7" t="n">
        <v>4451</v>
      </c>
      <c r="F86" s="8" t="n">
        <v>60628.38</v>
      </c>
      <c r="G86" s="21" t="n">
        <v>0.095</v>
      </c>
      <c r="H86" s="7" t="n">
        <v>89.6</v>
      </c>
      <c r="I86" s="7" t="n">
        <v>0</v>
      </c>
      <c r="J86" s="7" t="n">
        <v>1</v>
      </c>
      <c r="K86" s="7" t="n">
        <v>0</v>
      </c>
      <c r="L86" s="8" t="n">
        <v>682208.01</v>
      </c>
      <c r="M86" s="8" t="n">
        <f aca="false">'6. Multiple Regression'!$B$14+'6. Multiple Regression'!$B$15*E86+'6. Multiple Regression'!$B$16*F86+'6. Multiple Regression'!$B$17*G86+'6. Multiple Regression'!$B$18*H86+'6. Multiple Regression'!$B$19*I86+'6. Multiple Regression'!$B$20*J86+'6. Multiple Regression'!$B$21*K86</f>
        <v>632158.988298325</v>
      </c>
      <c r="N86" s="8" t="n">
        <f aca="false">L86-M86</f>
        <v>50049.0217016749</v>
      </c>
      <c r="O86" s="8" t="n">
        <f aca="false">ABS(N86)</f>
        <v>50049.0217016749</v>
      </c>
      <c r="P86" s="22" t="n">
        <f aca="false">N86/L86</f>
        <v>0.0733632865167838</v>
      </c>
    </row>
    <row r="87" customFormat="false" ht="15" hidden="false" customHeight="false" outlineLevel="0" collapsed="false">
      <c r="A87" s="4" t="s">
        <v>48</v>
      </c>
      <c r="B87" s="4" t="s">
        <v>21</v>
      </c>
      <c r="C87" s="4" t="s">
        <v>33</v>
      </c>
      <c r="D87" s="4" t="s">
        <v>34</v>
      </c>
      <c r="E87" s="4" t="n">
        <v>4644</v>
      </c>
      <c r="F87" s="5" t="n">
        <v>72731.14</v>
      </c>
      <c r="G87" s="19" t="n">
        <v>0.084</v>
      </c>
      <c r="H87" s="4" t="n">
        <v>87.1</v>
      </c>
      <c r="I87" s="4" t="n">
        <v>0</v>
      </c>
      <c r="J87" s="4" t="n">
        <v>1</v>
      </c>
      <c r="K87" s="4" t="n">
        <v>0</v>
      </c>
      <c r="L87" s="5" t="n">
        <v>727241.86</v>
      </c>
      <c r="M87" s="5" t="n">
        <f aca="false">'6. Multiple Regression'!$B$14+'6. Multiple Regression'!$B$15*E87+'6. Multiple Regression'!$B$16*F87+'6. Multiple Regression'!$B$17*G87+'6. Multiple Regression'!$B$18*H87+'6. Multiple Regression'!$B$19*I87+'6. Multiple Regression'!$B$20*J87+'6. Multiple Regression'!$B$21*K87</f>
        <v>645907.040137812</v>
      </c>
      <c r="N87" s="5" t="n">
        <f aca="false">L87-M87</f>
        <v>81334.819862188</v>
      </c>
      <c r="O87" s="5" t="n">
        <f aca="false">ABS(N87)</f>
        <v>81334.819862188</v>
      </c>
      <c r="P87" s="20" t="n">
        <f aca="false">N87/L87</f>
        <v>0.111840124084975</v>
      </c>
    </row>
    <row r="88" customFormat="false" ht="15" hidden="false" customHeight="false" outlineLevel="0" collapsed="false">
      <c r="A88" s="7" t="s">
        <v>48</v>
      </c>
      <c r="B88" s="7" t="s">
        <v>22</v>
      </c>
      <c r="C88" s="7" t="s">
        <v>33</v>
      </c>
      <c r="D88" s="7" t="s">
        <v>34</v>
      </c>
      <c r="E88" s="7" t="n">
        <v>3559</v>
      </c>
      <c r="F88" s="8" t="n">
        <v>36475.71</v>
      </c>
      <c r="G88" s="21" t="n">
        <v>0.03</v>
      </c>
      <c r="H88" s="7" t="n">
        <v>83.6</v>
      </c>
      <c r="I88" s="7" t="n">
        <v>0</v>
      </c>
      <c r="J88" s="7" t="n">
        <v>1</v>
      </c>
      <c r="K88" s="7" t="n">
        <v>0</v>
      </c>
      <c r="L88" s="8" t="n">
        <v>569100.78</v>
      </c>
      <c r="M88" s="8" t="n">
        <f aca="false">'6. Multiple Regression'!$B$14+'6. Multiple Regression'!$B$15*E88+'6. Multiple Regression'!$B$16*F88+'6. Multiple Regression'!$B$17*G88+'6. Multiple Regression'!$B$18*H88+'6. Multiple Regression'!$B$19*I88+'6. Multiple Regression'!$B$20*J88+'6. Multiple Regression'!$B$21*K88</f>
        <v>559803.24944292</v>
      </c>
      <c r="N88" s="8" t="n">
        <f aca="false">L88-M88</f>
        <v>9297.53055707994</v>
      </c>
      <c r="O88" s="8" t="n">
        <f aca="false">ABS(N88)</f>
        <v>9297.53055707994</v>
      </c>
      <c r="P88" s="22" t="n">
        <f aca="false">N88/L88</f>
        <v>0.0163372303884032</v>
      </c>
    </row>
    <row r="89" customFormat="false" ht="15" hidden="false" customHeight="false" outlineLevel="0" collapsed="false">
      <c r="A89" s="4" t="s">
        <v>49</v>
      </c>
      <c r="B89" s="4" t="s">
        <v>17</v>
      </c>
      <c r="C89" s="4" t="s">
        <v>33</v>
      </c>
      <c r="D89" s="4" t="s">
        <v>24</v>
      </c>
      <c r="E89" s="4" t="n">
        <v>3091</v>
      </c>
      <c r="F89" s="5" t="n">
        <v>55388.11</v>
      </c>
      <c r="G89" s="19" t="n">
        <v>0.108</v>
      </c>
      <c r="H89" s="4" t="n">
        <v>85.4</v>
      </c>
      <c r="I89" s="4" t="n">
        <v>0</v>
      </c>
      <c r="J89" s="4" t="n">
        <v>0</v>
      </c>
      <c r="K89" s="4" t="n">
        <v>0</v>
      </c>
      <c r="L89" s="5" t="n">
        <v>574436.29</v>
      </c>
      <c r="M89" s="5" t="n">
        <f aca="false">'6. Multiple Regression'!$B$14+'6. Multiple Regression'!$B$15*E89+'6. Multiple Regression'!$B$16*F89+'6. Multiple Regression'!$B$17*G89+'6. Multiple Regression'!$B$18*H89+'6. Multiple Regression'!$B$19*I89+'6. Multiple Regression'!$B$20*J89+'6. Multiple Regression'!$B$21*K89</f>
        <v>555463.443308034</v>
      </c>
      <c r="N89" s="5" t="n">
        <f aca="false">L89-M89</f>
        <v>18972.8466919661</v>
      </c>
      <c r="O89" s="5" t="n">
        <f aca="false">ABS(N89)</f>
        <v>18972.8466919661</v>
      </c>
      <c r="P89" s="20" t="n">
        <f aca="false">N89/L89</f>
        <v>0.0330286352416315</v>
      </c>
    </row>
    <row r="90" customFormat="false" ht="15" hidden="false" customHeight="false" outlineLevel="0" collapsed="false">
      <c r="A90" s="7" t="s">
        <v>49</v>
      </c>
      <c r="B90" s="7" t="s">
        <v>20</v>
      </c>
      <c r="C90" s="7" t="s">
        <v>33</v>
      </c>
      <c r="D90" s="7" t="s">
        <v>24</v>
      </c>
      <c r="E90" s="7" t="n">
        <v>4004</v>
      </c>
      <c r="F90" s="8" t="n">
        <v>88443.77</v>
      </c>
      <c r="G90" s="21" t="n">
        <v>0.206</v>
      </c>
      <c r="H90" s="7" t="n">
        <v>91.9</v>
      </c>
      <c r="I90" s="7" t="n">
        <v>0</v>
      </c>
      <c r="J90" s="7" t="n">
        <v>0</v>
      </c>
      <c r="K90" s="7" t="n">
        <v>0</v>
      </c>
      <c r="L90" s="8" t="n">
        <v>611766.72</v>
      </c>
      <c r="M90" s="8" t="n">
        <f aca="false">'6. Multiple Regression'!$B$14+'6. Multiple Regression'!$B$15*E90+'6. Multiple Regression'!$B$16*F90+'6. Multiple Regression'!$B$17*G90+'6. Multiple Regression'!$B$18*H90+'6. Multiple Regression'!$B$19*I90+'6. Multiple Regression'!$B$20*J90+'6. Multiple Regression'!$B$21*K90</f>
        <v>638458.718416088</v>
      </c>
      <c r="N90" s="8" t="n">
        <f aca="false">L90-M90</f>
        <v>-26691.9984160881</v>
      </c>
      <c r="O90" s="8" t="n">
        <f aca="false">ABS(N90)</f>
        <v>26691.9984160881</v>
      </c>
      <c r="P90" s="22" t="n">
        <f aca="false">N90/L90</f>
        <v>-0.043631007610365</v>
      </c>
    </row>
    <row r="91" customFormat="false" ht="15" hidden="false" customHeight="false" outlineLevel="0" collapsed="false">
      <c r="A91" s="4" t="s">
        <v>49</v>
      </c>
      <c r="B91" s="4" t="s">
        <v>21</v>
      </c>
      <c r="C91" s="4" t="s">
        <v>33</v>
      </c>
      <c r="D91" s="4" t="s">
        <v>24</v>
      </c>
      <c r="E91" s="4" t="n">
        <v>3788</v>
      </c>
      <c r="F91" s="5" t="n">
        <v>78231.91</v>
      </c>
      <c r="G91" s="19" t="n">
        <v>0.059</v>
      </c>
      <c r="H91" s="4" t="n">
        <v>88.5</v>
      </c>
      <c r="I91" s="4" t="n">
        <v>0</v>
      </c>
      <c r="J91" s="4" t="n">
        <v>0</v>
      </c>
      <c r="K91" s="4" t="n">
        <v>0</v>
      </c>
      <c r="L91" s="5" t="n">
        <v>614596.32</v>
      </c>
      <c r="M91" s="5" t="n">
        <f aca="false">'6. Multiple Regression'!$B$14+'6. Multiple Regression'!$B$15*E91+'6. Multiple Regression'!$B$16*F91+'6. Multiple Regression'!$B$17*G91+'6. Multiple Regression'!$B$18*H91+'6. Multiple Regression'!$B$19*I91+'6. Multiple Regression'!$B$20*J91+'6. Multiple Regression'!$B$21*K91</f>
        <v>617742.648811847</v>
      </c>
      <c r="N91" s="5" t="n">
        <f aca="false">L91-M91</f>
        <v>-3146.32881184702</v>
      </c>
      <c r="O91" s="5" t="n">
        <f aca="false">ABS(N91)</f>
        <v>3146.32881184702</v>
      </c>
      <c r="P91" s="20" t="n">
        <f aca="false">N91/L91</f>
        <v>-0.0051193420940871</v>
      </c>
    </row>
    <row r="92" customFormat="false" ht="15" hidden="false" customHeight="false" outlineLevel="0" collapsed="false">
      <c r="A92" s="7" t="s">
        <v>49</v>
      </c>
      <c r="B92" s="7" t="s">
        <v>22</v>
      </c>
      <c r="C92" s="7" t="s">
        <v>33</v>
      </c>
      <c r="D92" s="7" t="s">
        <v>24</v>
      </c>
      <c r="E92" s="7" t="n">
        <v>1260</v>
      </c>
      <c r="F92" s="8" t="n">
        <v>18996.32</v>
      </c>
      <c r="G92" s="21" t="n">
        <v>0.145</v>
      </c>
      <c r="H92" s="7" t="n">
        <v>86.4</v>
      </c>
      <c r="I92" s="7" t="n">
        <v>0</v>
      </c>
      <c r="J92" s="7" t="n">
        <v>0</v>
      </c>
      <c r="K92" s="7" t="n">
        <v>0</v>
      </c>
      <c r="L92" s="8" t="n">
        <v>450711.92</v>
      </c>
      <c r="M92" s="8" t="n">
        <f aca="false">'6. Multiple Regression'!$B$14+'6. Multiple Regression'!$B$15*E92+'6. Multiple Regression'!$B$16*F92+'6. Multiple Regression'!$B$17*G92+'6. Multiple Regression'!$B$18*H92+'6. Multiple Regression'!$B$19*I92+'6. Multiple Regression'!$B$20*J92+'6. Multiple Regression'!$B$21*K92</f>
        <v>452230.667098895</v>
      </c>
      <c r="N92" s="8" t="n">
        <f aca="false">L92-M92</f>
        <v>-1518.74709889508</v>
      </c>
      <c r="O92" s="8" t="n">
        <f aca="false">ABS(N92)</f>
        <v>1518.74709889508</v>
      </c>
      <c r="P92" s="22" t="n">
        <f aca="false">N92/L92</f>
        <v>-0.00336966259710877</v>
      </c>
    </row>
    <row r="93" customFormat="false" ht="15" hidden="false" customHeight="false" outlineLevel="0" collapsed="false">
      <c r="A93" s="4" t="s">
        <v>50</v>
      </c>
      <c r="B93" s="4" t="s">
        <v>17</v>
      </c>
      <c r="C93" s="4" t="s">
        <v>30</v>
      </c>
      <c r="D93" s="4" t="s">
        <v>34</v>
      </c>
      <c r="E93" s="4" t="n">
        <v>7024</v>
      </c>
      <c r="F93" s="5" t="n">
        <v>50517.94</v>
      </c>
      <c r="G93" s="19" t="n">
        <v>0.029</v>
      </c>
      <c r="H93" s="4" t="n">
        <v>79.2</v>
      </c>
      <c r="I93" s="4" t="n">
        <v>0</v>
      </c>
      <c r="J93" s="4" t="n">
        <v>1</v>
      </c>
      <c r="K93" s="4" t="n">
        <v>0</v>
      </c>
      <c r="L93" s="5" t="n">
        <v>711213.46</v>
      </c>
      <c r="M93" s="5" t="n">
        <f aca="false">'6. Multiple Regression'!$B$14+'6. Multiple Regression'!$B$15*E93+'6. Multiple Regression'!$B$16*F93+'6. Multiple Regression'!$B$17*G93+'6. Multiple Regression'!$B$18*H93+'6. Multiple Regression'!$B$19*I93+'6. Multiple Regression'!$B$20*J93+'6. Multiple Regression'!$B$21*K93</f>
        <v>679670.193242247</v>
      </c>
      <c r="N93" s="5" t="n">
        <f aca="false">L93-M93</f>
        <v>31543.266757753</v>
      </c>
      <c r="O93" s="5" t="n">
        <f aca="false">ABS(N93)</f>
        <v>31543.266757753</v>
      </c>
      <c r="P93" s="20" t="n">
        <f aca="false">N93/L93</f>
        <v>0.0443513354735342</v>
      </c>
    </row>
    <row r="94" customFormat="false" ht="15" hidden="false" customHeight="false" outlineLevel="0" collapsed="false">
      <c r="A94" s="7" t="s">
        <v>50</v>
      </c>
      <c r="B94" s="7" t="s">
        <v>20</v>
      </c>
      <c r="C94" s="7" t="s">
        <v>30</v>
      </c>
      <c r="D94" s="7" t="s">
        <v>34</v>
      </c>
      <c r="E94" s="7" t="n">
        <v>5400</v>
      </c>
      <c r="F94" s="8" t="n">
        <v>141540.29</v>
      </c>
      <c r="G94" s="21" t="n">
        <v>0.013</v>
      </c>
      <c r="H94" s="7" t="n">
        <v>87</v>
      </c>
      <c r="I94" s="7" t="n">
        <v>0</v>
      </c>
      <c r="J94" s="7" t="n">
        <v>1</v>
      </c>
      <c r="K94" s="7" t="n">
        <v>0</v>
      </c>
      <c r="L94" s="8" t="n">
        <v>627171.9</v>
      </c>
      <c r="M94" s="8" t="n">
        <f aca="false">'6. Multiple Regression'!$B$14+'6. Multiple Regression'!$B$15*E94+'6. Multiple Regression'!$B$16*F94+'6. Multiple Regression'!$B$17*G94+'6. Multiple Regression'!$B$18*H94+'6. Multiple Regression'!$B$19*I94+'6. Multiple Regression'!$B$20*J94+'6. Multiple Regression'!$B$21*K94</f>
        <v>755437.170700789</v>
      </c>
      <c r="N94" s="8" t="n">
        <f aca="false">L94-M94</f>
        <v>-128265.270700789</v>
      </c>
      <c r="O94" s="8" t="n">
        <f aca="false">ABS(N94)</f>
        <v>128265.270700789</v>
      </c>
      <c r="P94" s="22" t="n">
        <f aca="false">N94/L94</f>
        <v>-0.204513739695272</v>
      </c>
    </row>
    <row r="95" customFormat="false" ht="15" hidden="false" customHeight="false" outlineLevel="0" collapsed="false">
      <c r="A95" s="4" t="s">
        <v>50</v>
      </c>
      <c r="B95" s="4" t="s">
        <v>21</v>
      </c>
      <c r="C95" s="4" t="s">
        <v>30</v>
      </c>
      <c r="D95" s="4" t="s">
        <v>34</v>
      </c>
      <c r="E95" s="4" t="n">
        <v>5988</v>
      </c>
      <c r="F95" s="5" t="n">
        <v>82116.19</v>
      </c>
      <c r="G95" s="19" t="n">
        <v>0.04</v>
      </c>
      <c r="H95" s="4" t="n">
        <v>91.8</v>
      </c>
      <c r="I95" s="4" t="n">
        <v>0</v>
      </c>
      <c r="J95" s="4" t="n">
        <v>1</v>
      </c>
      <c r="K95" s="4" t="n">
        <v>0</v>
      </c>
      <c r="L95" s="5" t="n">
        <v>739852.58</v>
      </c>
      <c r="M95" s="5" t="n">
        <f aca="false">'6. Multiple Regression'!$B$14+'6. Multiple Regression'!$B$15*E95+'6. Multiple Regression'!$B$16*F95+'6. Multiple Regression'!$B$17*G95+'6. Multiple Regression'!$B$18*H95+'6. Multiple Regression'!$B$19*I95+'6. Multiple Regression'!$B$20*J95+'6. Multiple Regression'!$B$21*K95</f>
        <v>718788.34585619</v>
      </c>
      <c r="N95" s="5" t="n">
        <f aca="false">L95-M95</f>
        <v>21064.23414381</v>
      </c>
      <c r="O95" s="5" t="n">
        <f aca="false">ABS(N95)</f>
        <v>21064.23414381</v>
      </c>
      <c r="P95" s="20" t="n">
        <f aca="false">N95/L95</f>
        <v>0.0284708531310521</v>
      </c>
    </row>
    <row r="96" customFormat="false" ht="15" hidden="false" customHeight="false" outlineLevel="0" collapsed="false">
      <c r="A96" s="7" t="s">
        <v>50</v>
      </c>
      <c r="B96" s="7" t="s">
        <v>22</v>
      </c>
      <c r="C96" s="7" t="s">
        <v>30</v>
      </c>
      <c r="D96" s="7" t="s">
        <v>34</v>
      </c>
      <c r="E96" s="7" t="n">
        <v>3701</v>
      </c>
      <c r="F96" s="8" t="n">
        <v>31207.51</v>
      </c>
      <c r="G96" s="21" t="n">
        <v>0.043</v>
      </c>
      <c r="H96" s="7" t="n">
        <v>84.7</v>
      </c>
      <c r="I96" s="7" t="n">
        <v>0</v>
      </c>
      <c r="J96" s="7" t="n">
        <v>1</v>
      </c>
      <c r="K96" s="7" t="n">
        <v>0</v>
      </c>
      <c r="L96" s="8" t="n">
        <v>586307.22</v>
      </c>
      <c r="M96" s="8" t="n">
        <f aca="false">'6. Multiple Regression'!$B$14+'6. Multiple Regression'!$B$15*E96+'6. Multiple Regression'!$B$16*F96+'6. Multiple Regression'!$B$17*G96+'6. Multiple Regression'!$B$18*H96+'6. Multiple Regression'!$B$19*I96+'6. Multiple Regression'!$B$20*J96+'6. Multiple Regression'!$B$21*K96</f>
        <v>560978.889515639</v>
      </c>
      <c r="N96" s="8" t="n">
        <f aca="false">L96-M96</f>
        <v>25328.3304843609</v>
      </c>
      <c r="O96" s="8" t="n">
        <f aca="false">ABS(N96)</f>
        <v>25328.3304843609</v>
      </c>
      <c r="P96" s="22" t="n">
        <f aca="false">N96/L96</f>
        <v>0.043199758796013</v>
      </c>
    </row>
    <row r="97" customFormat="false" ht="15" hidden="false" customHeight="false" outlineLevel="0" collapsed="false">
      <c r="A97" s="4" t="s">
        <v>51</v>
      </c>
      <c r="B97" s="4" t="s">
        <v>17</v>
      </c>
      <c r="C97" s="4" t="s">
        <v>33</v>
      </c>
      <c r="D97" s="4" t="s">
        <v>19</v>
      </c>
      <c r="E97" s="4" t="n">
        <v>4509</v>
      </c>
      <c r="F97" s="5" t="n">
        <v>38966.59</v>
      </c>
      <c r="G97" s="19" t="n">
        <v>0.194</v>
      </c>
      <c r="H97" s="4" t="n">
        <v>91.1</v>
      </c>
      <c r="I97" s="4" t="n">
        <v>0</v>
      </c>
      <c r="J97" s="4" t="n">
        <v>0</v>
      </c>
      <c r="K97" s="4" t="n">
        <v>1</v>
      </c>
      <c r="L97" s="5" t="n">
        <v>585937.48</v>
      </c>
      <c r="M97" s="5" t="n">
        <f aca="false">'6. Multiple Regression'!$B$14+'6. Multiple Regression'!$B$15*E97+'6. Multiple Regression'!$B$16*F97+'6. Multiple Regression'!$B$17*G97+'6. Multiple Regression'!$B$18*H97+'6. Multiple Regression'!$B$19*I97+'6. Multiple Regression'!$B$20*J97+'6. Multiple Regression'!$B$21*K97</f>
        <v>579524.181394592</v>
      </c>
      <c r="N97" s="5" t="n">
        <f aca="false">L97-M97</f>
        <v>6413.29860540805</v>
      </c>
      <c r="O97" s="5" t="n">
        <f aca="false">ABS(N97)</f>
        <v>6413.29860540805</v>
      </c>
      <c r="P97" s="20" t="n">
        <f aca="false">N97/L97</f>
        <v>0.0109453633268315</v>
      </c>
    </row>
    <row r="98" customFormat="false" ht="15" hidden="false" customHeight="false" outlineLevel="0" collapsed="false">
      <c r="A98" s="7" t="s">
        <v>51</v>
      </c>
      <c r="B98" s="7" t="s">
        <v>20</v>
      </c>
      <c r="C98" s="7" t="s">
        <v>33</v>
      </c>
      <c r="D98" s="7" t="s">
        <v>19</v>
      </c>
      <c r="E98" s="7" t="n">
        <v>6477</v>
      </c>
      <c r="F98" s="8" t="n">
        <v>67439.3</v>
      </c>
      <c r="G98" s="21" t="n">
        <v>0</v>
      </c>
      <c r="H98" s="7" t="n">
        <v>90.9</v>
      </c>
      <c r="I98" s="7" t="n">
        <v>0</v>
      </c>
      <c r="J98" s="7" t="n">
        <v>0</v>
      </c>
      <c r="K98" s="7" t="n">
        <v>1</v>
      </c>
      <c r="L98" s="8" t="n">
        <v>753473.55</v>
      </c>
      <c r="M98" s="8" t="n">
        <f aca="false">'6. Multiple Regression'!$B$14+'6. Multiple Regression'!$B$15*E98+'6. Multiple Regression'!$B$16*F98+'6. Multiple Regression'!$B$17*G98+'6. Multiple Regression'!$B$18*H98+'6. Multiple Regression'!$B$19*I98+'6. Multiple Regression'!$B$20*J98+'6. Multiple Regression'!$B$21*K98</f>
        <v>689790.8720354</v>
      </c>
      <c r="N98" s="8" t="n">
        <f aca="false">L98-M98</f>
        <v>63682.6779646</v>
      </c>
      <c r="O98" s="8" t="n">
        <f aca="false">ABS(N98)</f>
        <v>63682.6779646</v>
      </c>
      <c r="P98" s="22" t="n">
        <f aca="false">N98/L98</f>
        <v>0.0845187969300316</v>
      </c>
    </row>
    <row r="99" customFormat="false" ht="15" hidden="false" customHeight="false" outlineLevel="0" collapsed="false">
      <c r="A99" s="4" t="s">
        <v>51</v>
      </c>
      <c r="B99" s="4" t="s">
        <v>21</v>
      </c>
      <c r="C99" s="4" t="s">
        <v>33</v>
      </c>
      <c r="D99" s="4" t="s">
        <v>19</v>
      </c>
      <c r="E99" s="4" t="n">
        <v>7970</v>
      </c>
      <c r="F99" s="5" t="n">
        <v>86421.88</v>
      </c>
      <c r="G99" s="19" t="n">
        <v>0.073</v>
      </c>
      <c r="H99" s="4" t="n">
        <v>91.3</v>
      </c>
      <c r="I99" s="4" t="n">
        <v>0</v>
      </c>
      <c r="J99" s="4" t="n">
        <v>0</v>
      </c>
      <c r="K99" s="4" t="n">
        <v>1</v>
      </c>
      <c r="L99" s="5" t="n">
        <v>838250.32</v>
      </c>
      <c r="M99" s="5" t="n">
        <f aca="false">'6. Multiple Regression'!$B$14+'6. Multiple Regression'!$B$15*E99+'6. Multiple Regression'!$B$16*F99+'6. Multiple Regression'!$B$17*G99+'6. Multiple Regression'!$B$18*H99+'6. Multiple Regression'!$B$19*I99+'6. Multiple Regression'!$B$20*J99+'6. Multiple Regression'!$B$21*K99</f>
        <v>759075.152187939</v>
      </c>
      <c r="N99" s="5" t="n">
        <f aca="false">L99-M99</f>
        <v>79175.167812061</v>
      </c>
      <c r="O99" s="5" t="n">
        <f aca="false">ABS(N99)</f>
        <v>79175.167812061</v>
      </c>
      <c r="P99" s="20" t="n">
        <f aca="false">N99/L99</f>
        <v>0.094452893035652</v>
      </c>
    </row>
    <row r="100" customFormat="false" ht="15" hidden="false" customHeight="false" outlineLevel="0" collapsed="false">
      <c r="A100" s="7" t="s">
        <v>51</v>
      </c>
      <c r="B100" s="7" t="s">
        <v>22</v>
      </c>
      <c r="C100" s="7" t="s">
        <v>33</v>
      </c>
      <c r="D100" s="7" t="s">
        <v>19</v>
      </c>
      <c r="E100" s="7" t="n">
        <v>6057</v>
      </c>
      <c r="F100" s="8" t="n">
        <v>9534.65</v>
      </c>
      <c r="G100" s="21" t="n">
        <v>0.074</v>
      </c>
      <c r="H100" s="7" t="n">
        <v>94.1</v>
      </c>
      <c r="I100" s="7" t="n">
        <v>0</v>
      </c>
      <c r="J100" s="7" t="n">
        <v>0</v>
      </c>
      <c r="K100" s="7" t="n">
        <v>1</v>
      </c>
      <c r="L100" s="8" t="n">
        <v>607898.12</v>
      </c>
      <c r="M100" s="8" t="n">
        <f aca="false">'6. Multiple Regression'!$B$14+'6. Multiple Regression'!$B$15*E100+'6. Multiple Regression'!$B$16*F100+'6. Multiple Regression'!$B$17*G100+'6. Multiple Regression'!$B$18*H100+'6. Multiple Regression'!$B$19*I100+'6. Multiple Regression'!$B$20*J100+'6. Multiple Regression'!$B$21*K100</f>
        <v>613408.044235612</v>
      </c>
      <c r="N100" s="8" t="n">
        <f aca="false">L100-M100</f>
        <v>-5509.92423561192</v>
      </c>
      <c r="O100" s="8" t="n">
        <f aca="false">ABS(N100)</f>
        <v>5509.92423561192</v>
      </c>
      <c r="P100" s="22" t="n">
        <f aca="false">N100/L100</f>
        <v>-0.00906389418610461</v>
      </c>
    </row>
    <row r="101" customFormat="false" ht="15" hidden="false" customHeight="false" outlineLevel="0" collapsed="false">
      <c r="A101" s="4" t="s">
        <v>52</v>
      </c>
      <c r="B101" s="4" t="s">
        <v>17</v>
      </c>
      <c r="C101" s="4" t="s">
        <v>33</v>
      </c>
      <c r="D101" s="4" t="s">
        <v>34</v>
      </c>
      <c r="E101" s="4" t="n">
        <v>6394</v>
      </c>
      <c r="F101" s="5" t="n">
        <v>61132.07</v>
      </c>
      <c r="G101" s="19" t="n">
        <v>0.163</v>
      </c>
      <c r="H101" s="4" t="n">
        <v>91</v>
      </c>
      <c r="I101" s="4" t="n">
        <v>0</v>
      </c>
      <c r="J101" s="4" t="n">
        <v>1</v>
      </c>
      <c r="K101" s="4" t="n">
        <v>0</v>
      </c>
      <c r="L101" s="5" t="n">
        <v>691113.62</v>
      </c>
      <c r="M101" s="5" t="n">
        <f aca="false">'6. Multiple Regression'!$B$14+'6. Multiple Regression'!$B$15*E101+'6. Multiple Regression'!$B$16*F101+'6. Multiple Regression'!$B$17*G101+'6. Multiple Regression'!$B$18*H101+'6. Multiple Regression'!$B$19*I101+'6. Multiple Regression'!$B$20*J101+'6. Multiple Regression'!$B$21*K101</f>
        <v>698351.033497779</v>
      </c>
      <c r="N101" s="5" t="n">
        <f aca="false">L101-M101</f>
        <v>-7237.41349777894</v>
      </c>
      <c r="O101" s="5" t="n">
        <f aca="false">ABS(N101)</f>
        <v>7237.41349777894</v>
      </c>
      <c r="P101" s="20" t="n">
        <f aca="false">N101/L101</f>
        <v>-0.01047210370095</v>
      </c>
    </row>
    <row r="102" customFormat="false" ht="15" hidden="false" customHeight="false" outlineLevel="0" collapsed="false">
      <c r="A102" s="7" t="s">
        <v>52</v>
      </c>
      <c r="B102" s="7" t="s">
        <v>20</v>
      </c>
      <c r="C102" s="7" t="s">
        <v>33</v>
      </c>
      <c r="D102" s="7" t="s">
        <v>34</v>
      </c>
      <c r="E102" s="7" t="n">
        <v>5150</v>
      </c>
      <c r="F102" s="8" t="n">
        <v>78839.39</v>
      </c>
      <c r="G102" s="21" t="n">
        <v>0.171</v>
      </c>
      <c r="H102" s="7" t="n">
        <v>85.8</v>
      </c>
      <c r="I102" s="7" t="n">
        <v>0</v>
      </c>
      <c r="J102" s="7" t="n">
        <v>1</v>
      </c>
      <c r="K102" s="7" t="n">
        <v>0</v>
      </c>
      <c r="L102" s="8" t="n">
        <v>735509.4</v>
      </c>
      <c r="M102" s="8" t="n">
        <f aca="false">'6. Multiple Regression'!$B$14+'6. Multiple Regression'!$B$15*E102+'6. Multiple Regression'!$B$16*F102+'6. Multiple Regression'!$B$17*G102+'6. Multiple Regression'!$B$18*H102+'6. Multiple Regression'!$B$19*I102+'6. Multiple Regression'!$B$20*J102+'6. Multiple Regression'!$B$21*K102</f>
        <v>661032.687065043</v>
      </c>
      <c r="N102" s="8" t="n">
        <f aca="false">L102-M102</f>
        <v>74476.712934957</v>
      </c>
      <c r="O102" s="8" t="n">
        <f aca="false">ABS(N102)</f>
        <v>74476.712934957</v>
      </c>
      <c r="P102" s="22" t="n">
        <f aca="false">N102/L102</f>
        <v>0.101258682669395</v>
      </c>
    </row>
    <row r="103" customFormat="false" ht="15" hidden="false" customHeight="false" outlineLevel="0" collapsed="false">
      <c r="A103" s="4" t="s">
        <v>52</v>
      </c>
      <c r="B103" s="4" t="s">
        <v>21</v>
      </c>
      <c r="C103" s="4" t="s">
        <v>33</v>
      </c>
      <c r="D103" s="4" t="s">
        <v>34</v>
      </c>
      <c r="E103" s="4" t="n">
        <v>4712</v>
      </c>
      <c r="F103" s="5" t="n">
        <v>38752.8</v>
      </c>
      <c r="G103" s="19" t="n">
        <v>0.075</v>
      </c>
      <c r="H103" s="4" t="n">
        <v>89.7</v>
      </c>
      <c r="I103" s="4" t="n">
        <v>0</v>
      </c>
      <c r="J103" s="4" t="n">
        <v>1</v>
      </c>
      <c r="K103" s="4" t="n">
        <v>0</v>
      </c>
      <c r="L103" s="5" t="n">
        <v>605775.33</v>
      </c>
      <c r="M103" s="5" t="n">
        <f aca="false">'6. Multiple Regression'!$B$14+'6. Multiple Regression'!$B$15*E103+'6. Multiple Regression'!$B$16*F103+'6. Multiple Regression'!$B$17*G103+'6. Multiple Regression'!$B$18*H103+'6. Multiple Regression'!$B$19*I103+'6. Multiple Regression'!$B$20*J103+'6. Multiple Regression'!$B$21*K103</f>
        <v>616928.098351625</v>
      </c>
      <c r="N103" s="5" t="n">
        <f aca="false">L103-M103</f>
        <v>-11152.7683516251</v>
      </c>
      <c r="O103" s="5" t="n">
        <f aca="false">ABS(N103)</f>
        <v>11152.7683516251</v>
      </c>
      <c r="P103" s="20" t="n">
        <f aca="false">N103/L103</f>
        <v>-0.0184107338138466</v>
      </c>
    </row>
    <row r="104" customFormat="false" ht="15" hidden="false" customHeight="false" outlineLevel="0" collapsed="false">
      <c r="A104" s="7" t="s">
        <v>52</v>
      </c>
      <c r="B104" s="7" t="s">
        <v>22</v>
      </c>
      <c r="C104" s="7" t="s">
        <v>33</v>
      </c>
      <c r="D104" s="7" t="s">
        <v>34</v>
      </c>
      <c r="E104" s="7" t="n">
        <v>5281</v>
      </c>
      <c r="F104" s="8" t="n">
        <v>55101.1</v>
      </c>
      <c r="G104" s="21" t="n">
        <v>0.189</v>
      </c>
      <c r="H104" s="7" t="n">
        <v>91</v>
      </c>
      <c r="I104" s="7" t="n">
        <v>0</v>
      </c>
      <c r="J104" s="7" t="n">
        <v>1</v>
      </c>
      <c r="K104" s="7" t="n">
        <v>0</v>
      </c>
      <c r="L104" s="8" t="n">
        <v>675177.68</v>
      </c>
      <c r="M104" s="8" t="n">
        <f aca="false">'6. Multiple Regression'!$B$14+'6. Multiple Regression'!$B$15*E104+'6. Multiple Regression'!$B$16*F104+'6. Multiple Regression'!$B$17*G104+'6. Multiple Regression'!$B$18*H104+'6. Multiple Regression'!$B$19*I104+'6. Multiple Regression'!$B$20*J104+'6. Multiple Regression'!$B$21*K104</f>
        <v>652321.556434207</v>
      </c>
      <c r="N104" s="8" t="n">
        <f aca="false">L104-M104</f>
        <v>22856.123565793</v>
      </c>
      <c r="O104" s="8" t="n">
        <f aca="false">ABS(N104)</f>
        <v>22856.123565793</v>
      </c>
      <c r="P104" s="22" t="n">
        <f aca="false">N104/L104</f>
        <v>0.0338520129483443</v>
      </c>
    </row>
    <row r="105" customFormat="false" ht="15" hidden="false" customHeight="false" outlineLevel="0" collapsed="false">
      <c r="A105" s="4" t="s">
        <v>53</v>
      </c>
      <c r="B105" s="4" t="s">
        <v>17</v>
      </c>
      <c r="C105" s="4" t="s">
        <v>18</v>
      </c>
      <c r="D105" s="4" t="s">
        <v>34</v>
      </c>
      <c r="E105" s="4" t="n">
        <v>3642</v>
      </c>
      <c r="F105" s="5" t="n">
        <v>53084.76</v>
      </c>
      <c r="G105" s="19" t="n">
        <v>0.15</v>
      </c>
      <c r="H105" s="4" t="n">
        <v>91.4</v>
      </c>
      <c r="I105" s="4" t="n">
        <v>0</v>
      </c>
      <c r="J105" s="4" t="n">
        <v>1</v>
      </c>
      <c r="K105" s="4" t="n">
        <v>0</v>
      </c>
      <c r="L105" s="5" t="n">
        <v>635181.35</v>
      </c>
      <c r="M105" s="5" t="n">
        <f aca="false">'6. Multiple Regression'!$B$14+'6. Multiple Regression'!$B$15*E105+'6. Multiple Regression'!$B$16*F105+'6. Multiple Regression'!$B$17*G105+'6. Multiple Regression'!$B$18*H105+'6. Multiple Regression'!$B$19*I105+'6. Multiple Regression'!$B$20*J105+'6. Multiple Regression'!$B$21*K105</f>
        <v>598293.95623613</v>
      </c>
      <c r="N105" s="5" t="n">
        <f aca="false">L105-M105</f>
        <v>36887.39376387</v>
      </c>
      <c r="O105" s="5" t="n">
        <f aca="false">ABS(N105)</f>
        <v>36887.39376387</v>
      </c>
      <c r="P105" s="20" t="n">
        <f aca="false">N105/L105</f>
        <v>0.0580737985519726</v>
      </c>
    </row>
    <row r="106" customFormat="false" ht="15" hidden="false" customHeight="false" outlineLevel="0" collapsed="false">
      <c r="A106" s="7" t="s">
        <v>53</v>
      </c>
      <c r="B106" s="7" t="s">
        <v>20</v>
      </c>
      <c r="C106" s="7" t="s">
        <v>18</v>
      </c>
      <c r="D106" s="7" t="s">
        <v>34</v>
      </c>
      <c r="E106" s="7" t="n">
        <v>4373</v>
      </c>
      <c r="F106" s="8" t="n">
        <v>63101.59</v>
      </c>
      <c r="G106" s="21" t="n">
        <v>0.173</v>
      </c>
      <c r="H106" s="7" t="n">
        <v>90.4</v>
      </c>
      <c r="I106" s="7" t="n">
        <v>0</v>
      </c>
      <c r="J106" s="7" t="n">
        <v>1</v>
      </c>
      <c r="K106" s="7" t="n">
        <v>0</v>
      </c>
      <c r="L106" s="8" t="n">
        <v>586626.94</v>
      </c>
      <c r="M106" s="8" t="n">
        <f aca="false">'6. Multiple Regression'!$B$14+'6. Multiple Regression'!$B$15*E106+'6. Multiple Regression'!$B$16*F106+'6. Multiple Regression'!$B$17*G106+'6. Multiple Regression'!$B$18*H106+'6. Multiple Regression'!$B$19*I106+'6. Multiple Regression'!$B$20*J106+'6. Multiple Regression'!$B$21*K106</f>
        <v>630220.807273769</v>
      </c>
      <c r="N106" s="8" t="n">
        <f aca="false">L106-M106</f>
        <v>-43593.8672737691</v>
      </c>
      <c r="O106" s="8" t="n">
        <f aca="false">ABS(N106)</f>
        <v>43593.8672737691</v>
      </c>
      <c r="P106" s="22" t="n">
        <f aca="false">N106/L106</f>
        <v>-0.0743127604636928</v>
      </c>
    </row>
    <row r="107" customFormat="false" ht="15" hidden="false" customHeight="false" outlineLevel="0" collapsed="false">
      <c r="A107" s="4" t="s">
        <v>53</v>
      </c>
      <c r="B107" s="4" t="s">
        <v>21</v>
      </c>
      <c r="C107" s="4" t="s">
        <v>18</v>
      </c>
      <c r="D107" s="4" t="s">
        <v>34</v>
      </c>
      <c r="E107" s="4" t="n">
        <v>6832</v>
      </c>
      <c r="F107" s="5" t="n">
        <v>90084.4</v>
      </c>
      <c r="G107" s="19" t="n">
        <v>0.185</v>
      </c>
      <c r="H107" s="4" t="n">
        <v>80.5</v>
      </c>
      <c r="I107" s="4" t="n">
        <v>0</v>
      </c>
      <c r="J107" s="4" t="n">
        <v>1</v>
      </c>
      <c r="K107" s="4" t="n">
        <v>0</v>
      </c>
      <c r="L107" s="5" t="n">
        <v>740102.64</v>
      </c>
      <c r="M107" s="5" t="n">
        <f aca="false">'6. Multiple Regression'!$B$14+'6. Multiple Regression'!$B$15*E107+'6. Multiple Regression'!$B$16*F107+'6. Multiple Regression'!$B$17*G107+'6. Multiple Regression'!$B$18*H107+'6. Multiple Regression'!$B$19*I107+'6. Multiple Regression'!$B$20*J107+'6. Multiple Regression'!$B$21*K107</f>
        <v>714030.968181355</v>
      </c>
      <c r="N107" s="5" t="n">
        <f aca="false">L107-M107</f>
        <v>26071.671818645</v>
      </c>
      <c r="O107" s="5" t="n">
        <f aca="false">ABS(N107)</f>
        <v>26071.671818645</v>
      </c>
      <c r="P107" s="20" t="n">
        <f aca="false">N107/L107</f>
        <v>0.0352271028497412</v>
      </c>
    </row>
    <row r="108" customFormat="false" ht="15" hidden="false" customHeight="false" outlineLevel="0" collapsed="false">
      <c r="A108" s="7" t="s">
        <v>53</v>
      </c>
      <c r="B108" s="7" t="s">
        <v>22</v>
      </c>
      <c r="C108" s="7" t="s">
        <v>18</v>
      </c>
      <c r="D108" s="7" t="s">
        <v>34</v>
      </c>
      <c r="E108" s="7" t="n">
        <v>2414</v>
      </c>
      <c r="F108" s="8" t="n">
        <v>32266.64</v>
      </c>
      <c r="G108" s="21" t="n">
        <v>0.08</v>
      </c>
      <c r="H108" s="7" t="n">
        <v>92.1</v>
      </c>
      <c r="I108" s="7" t="n">
        <v>0</v>
      </c>
      <c r="J108" s="7" t="n">
        <v>1</v>
      </c>
      <c r="K108" s="7" t="n">
        <v>0</v>
      </c>
      <c r="L108" s="8" t="n">
        <v>625514.04</v>
      </c>
      <c r="M108" s="8" t="n">
        <f aca="false">'6. Multiple Regression'!$B$14+'6. Multiple Regression'!$B$15*E108+'6. Multiple Regression'!$B$16*F108+'6. Multiple Regression'!$B$17*G108+'6. Multiple Regression'!$B$18*H108+'6. Multiple Regression'!$B$19*I108+'6. Multiple Regression'!$B$20*J108+'6. Multiple Regression'!$B$21*K108</f>
        <v>538915.98724206</v>
      </c>
      <c r="N108" s="8" t="n">
        <f aca="false">L108-M108</f>
        <v>86598.05275794</v>
      </c>
      <c r="O108" s="8" t="n">
        <f aca="false">ABS(N108)</f>
        <v>86598.05275794</v>
      </c>
      <c r="P108" s="22" t="n">
        <f aca="false">N108/L108</f>
        <v>0.138443020012692</v>
      </c>
    </row>
    <row r="109" customFormat="false" ht="15" hidden="false" customHeight="false" outlineLevel="0" collapsed="false">
      <c r="A109" s="4" t="s">
        <v>54</v>
      </c>
      <c r="B109" s="4" t="s">
        <v>17</v>
      </c>
      <c r="C109" s="4" t="s">
        <v>33</v>
      </c>
      <c r="D109" s="4" t="s">
        <v>24</v>
      </c>
      <c r="E109" s="4" t="n">
        <v>7374</v>
      </c>
      <c r="F109" s="5" t="n">
        <v>57919.07</v>
      </c>
      <c r="G109" s="19" t="n">
        <v>0.103</v>
      </c>
      <c r="H109" s="4" t="n">
        <v>82.3</v>
      </c>
      <c r="I109" s="4" t="n">
        <v>0</v>
      </c>
      <c r="J109" s="4" t="n">
        <v>0</v>
      </c>
      <c r="K109" s="4" t="n">
        <v>0</v>
      </c>
      <c r="L109" s="5" t="n">
        <v>727227.2</v>
      </c>
      <c r="M109" s="5" t="n">
        <f aca="false">'6. Multiple Regression'!$B$14+'6. Multiple Regression'!$B$15*E109+'6. Multiple Regression'!$B$16*F109+'6. Multiple Regression'!$B$17*G109+'6. Multiple Regression'!$B$18*H109+'6. Multiple Regression'!$B$19*I109+'6. Multiple Regression'!$B$20*J109+'6. Multiple Regression'!$B$21*K109</f>
        <v>693588.803435499</v>
      </c>
      <c r="N109" s="5" t="n">
        <f aca="false">L109-M109</f>
        <v>33638.396564501</v>
      </c>
      <c r="O109" s="5" t="n">
        <f aca="false">ABS(N109)</f>
        <v>33638.396564501</v>
      </c>
      <c r="P109" s="20" t="n">
        <f aca="false">N109/L109</f>
        <v>0.0462556908824381</v>
      </c>
    </row>
    <row r="110" customFormat="false" ht="15" hidden="false" customHeight="false" outlineLevel="0" collapsed="false">
      <c r="A110" s="7" t="s">
        <v>54</v>
      </c>
      <c r="B110" s="7" t="s">
        <v>20</v>
      </c>
      <c r="C110" s="7" t="s">
        <v>33</v>
      </c>
      <c r="D110" s="7" t="s">
        <v>24</v>
      </c>
      <c r="E110" s="7" t="n">
        <v>8739</v>
      </c>
      <c r="F110" s="8" t="n">
        <v>74679.35</v>
      </c>
      <c r="G110" s="21" t="n">
        <v>0.056</v>
      </c>
      <c r="H110" s="7" t="n">
        <v>91.8</v>
      </c>
      <c r="I110" s="7" t="n">
        <v>0</v>
      </c>
      <c r="J110" s="7" t="n">
        <v>0</v>
      </c>
      <c r="K110" s="7" t="n">
        <v>0</v>
      </c>
      <c r="L110" s="8" t="n">
        <v>783797.89</v>
      </c>
      <c r="M110" s="8" t="n">
        <f aca="false">'6. Multiple Regression'!$B$14+'6. Multiple Regression'!$B$15*E110+'6. Multiple Regression'!$B$16*F110+'6. Multiple Regression'!$B$17*G110+'6. Multiple Regression'!$B$18*H110+'6. Multiple Regression'!$B$19*I110+'6. Multiple Regression'!$B$20*J110+'6. Multiple Regression'!$B$21*K110</f>
        <v>790355.342402078</v>
      </c>
      <c r="N110" s="8" t="n">
        <f aca="false">L110-M110</f>
        <v>-6557.45240207796</v>
      </c>
      <c r="O110" s="8" t="n">
        <f aca="false">ABS(N110)</f>
        <v>6557.45240207796</v>
      </c>
      <c r="P110" s="22" t="n">
        <f aca="false">N110/L110</f>
        <v>-0.0083662542164766</v>
      </c>
    </row>
    <row r="111" customFormat="false" ht="15" hidden="false" customHeight="false" outlineLevel="0" collapsed="false">
      <c r="A111" s="4" t="s">
        <v>54</v>
      </c>
      <c r="B111" s="4" t="s">
        <v>21</v>
      </c>
      <c r="C111" s="4" t="s">
        <v>33</v>
      </c>
      <c r="D111" s="4" t="s">
        <v>24</v>
      </c>
      <c r="E111" s="4" t="n">
        <v>6992</v>
      </c>
      <c r="F111" s="5" t="n">
        <v>64294.23</v>
      </c>
      <c r="G111" s="19" t="n">
        <v>0.133</v>
      </c>
      <c r="H111" s="4" t="n">
        <v>94.1</v>
      </c>
      <c r="I111" s="4" t="n">
        <v>0</v>
      </c>
      <c r="J111" s="4" t="n">
        <v>0</v>
      </c>
      <c r="K111" s="4" t="n">
        <v>0</v>
      </c>
      <c r="L111" s="5" t="n">
        <v>795153.84</v>
      </c>
      <c r="M111" s="5" t="n">
        <f aca="false">'6. Multiple Regression'!$B$14+'6. Multiple Regression'!$B$15*E111+'6. Multiple Regression'!$B$16*F111+'6. Multiple Regression'!$B$17*G111+'6. Multiple Regression'!$B$18*H111+'6. Multiple Regression'!$B$19*I111+'6. Multiple Regression'!$B$20*J111+'6. Multiple Regression'!$B$21*K111</f>
        <v>721805.690190269</v>
      </c>
      <c r="N111" s="5" t="n">
        <f aca="false">L111-M111</f>
        <v>73348.1498097309</v>
      </c>
      <c r="O111" s="5" t="n">
        <f aca="false">ABS(N111)</f>
        <v>73348.1498097309</v>
      </c>
      <c r="P111" s="20" t="n">
        <f aca="false">N111/L111</f>
        <v>0.0922439735809248</v>
      </c>
    </row>
    <row r="112" customFormat="false" ht="15" hidden="false" customHeight="false" outlineLevel="0" collapsed="false">
      <c r="A112" s="7" t="s">
        <v>54</v>
      </c>
      <c r="B112" s="7" t="s">
        <v>22</v>
      </c>
      <c r="C112" s="7" t="s">
        <v>33</v>
      </c>
      <c r="D112" s="7" t="s">
        <v>24</v>
      </c>
      <c r="E112" s="7" t="n">
        <v>7107</v>
      </c>
      <c r="F112" s="8" t="n">
        <v>31042.03</v>
      </c>
      <c r="G112" s="21" t="n">
        <v>0.051</v>
      </c>
      <c r="H112" s="7" t="n">
        <v>87</v>
      </c>
      <c r="I112" s="7" t="n">
        <v>0</v>
      </c>
      <c r="J112" s="7" t="n">
        <v>0</v>
      </c>
      <c r="K112" s="7" t="n">
        <v>0</v>
      </c>
      <c r="L112" s="8" t="n">
        <v>665594.94</v>
      </c>
      <c r="M112" s="8" t="n">
        <f aca="false">'6. Multiple Regression'!$B$14+'6. Multiple Regression'!$B$15*E112+'6. Multiple Regression'!$B$16*F112+'6. Multiple Regression'!$B$17*G112+'6. Multiple Regression'!$B$18*H112+'6. Multiple Regression'!$B$19*I112+'6. Multiple Regression'!$B$20*J112+'6. Multiple Regression'!$B$21*K112</f>
        <v>670444.907094003</v>
      </c>
      <c r="N112" s="8" t="n">
        <f aca="false">L112-M112</f>
        <v>-4849.96709400311</v>
      </c>
      <c r="O112" s="8" t="n">
        <f aca="false">ABS(N112)</f>
        <v>4849.96709400311</v>
      </c>
      <c r="P112" s="22" t="n">
        <f aca="false">N112/L112</f>
        <v>-0.00728666461016532</v>
      </c>
    </row>
    <row r="113" customFormat="false" ht="15" hidden="false" customHeight="false" outlineLevel="0" collapsed="false">
      <c r="A113" s="4" t="s">
        <v>55</v>
      </c>
      <c r="B113" s="4" t="s">
        <v>17</v>
      </c>
      <c r="C113" s="4" t="s">
        <v>18</v>
      </c>
      <c r="D113" s="4" t="s">
        <v>34</v>
      </c>
      <c r="E113" s="4" t="n">
        <v>6975</v>
      </c>
      <c r="F113" s="5" t="n">
        <v>75265.02</v>
      </c>
      <c r="G113" s="19" t="n">
        <v>0.157</v>
      </c>
      <c r="H113" s="4" t="n">
        <v>73.8</v>
      </c>
      <c r="I113" s="4" t="n">
        <v>0</v>
      </c>
      <c r="J113" s="4" t="n">
        <v>1</v>
      </c>
      <c r="K113" s="4" t="n">
        <v>0</v>
      </c>
      <c r="L113" s="5" t="n">
        <v>709478.39</v>
      </c>
      <c r="M113" s="5" t="n">
        <f aca="false">'6. Multiple Regression'!$B$14+'6. Multiple Regression'!$B$15*E113+'6. Multiple Regression'!$B$16*F113+'6. Multiple Regression'!$B$17*G113+'6. Multiple Regression'!$B$18*H113+'6. Multiple Regression'!$B$19*I113+'6. Multiple Regression'!$B$20*J113+'6. Multiple Regression'!$B$21*K113</f>
        <v>683114.865812751</v>
      </c>
      <c r="N113" s="5" t="n">
        <f aca="false">L113-M113</f>
        <v>26363.524187249</v>
      </c>
      <c r="O113" s="5" t="n">
        <f aca="false">ABS(N113)</f>
        <v>26363.524187249</v>
      </c>
      <c r="P113" s="20" t="n">
        <f aca="false">N113/L113</f>
        <v>0.03715902352889</v>
      </c>
    </row>
    <row r="114" customFormat="false" ht="15" hidden="false" customHeight="false" outlineLevel="0" collapsed="false">
      <c r="A114" s="7" t="s">
        <v>55</v>
      </c>
      <c r="B114" s="7" t="s">
        <v>20</v>
      </c>
      <c r="C114" s="7" t="s">
        <v>18</v>
      </c>
      <c r="D114" s="7" t="s">
        <v>34</v>
      </c>
      <c r="E114" s="7" t="n">
        <v>5493</v>
      </c>
      <c r="F114" s="8" t="n">
        <v>69411.7</v>
      </c>
      <c r="G114" s="21" t="n">
        <v>0.292</v>
      </c>
      <c r="H114" s="7" t="n">
        <v>86.5</v>
      </c>
      <c r="I114" s="7" t="n">
        <v>0</v>
      </c>
      <c r="J114" s="7" t="n">
        <v>1</v>
      </c>
      <c r="K114" s="7" t="n">
        <v>0</v>
      </c>
      <c r="L114" s="8" t="n">
        <v>664162.49</v>
      </c>
      <c r="M114" s="8" t="n">
        <f aca="false">'6. Multiple Regression'!$B$14+'6. Multiple Regression'!$B$15*E114+'6. Multiple Regression'!$B$16*F114+'6. Multiple Regression'!$B$17*G114+'6. Multiple Regression'!$B$18*H114+'6. Multiple Regression'!$B$19*I114+'6. Multiple Regression'!$B$20*J114+'6. Multiple Regression'!$B$21*K114</f>
        <v>656563.090632996</v>
      </c>
      <c r="N114" s="8" t="n">
        <f aca="false">L114-M114</f>
        <v>7599.39936700393</v>
      </c>
      <c r="O114" s="8" t="n">
        <f aca="false">ABS(N114)</f>
        <v>7599.39936700393</v>
      </c>
      <c r="P114" s="22" t="n">
        <f aca="false">N114/L114</f>
        <v>0.0114420785296139</v>
      </c>
    </row>
    <row r="115" customFormat="false" ht="15" hidden="false" customHeight="false" outlineLevel="0" collapsed="false">
      <c r="A115" s="4" t="s">
        <v>55</v>
      </c>
      <c r="B115" s="4" t="s">
        <v>21</v>
      </c>
      <c r="C115" s="4" t="s">
        <v>18</v>
      </c>
      <c r="D115" s="4" t="s">
        <v>34</v>
      </c>
      <c r="E115" s="4" t="n">
        <v>5686</v>
      </c>
      <c r="F115" s="5" t="n">
        <v>51056.15</v>
      </c>
      <c r="G115" s="19" t="n">
        <v>0.089</v>
      </c>
      <c r="H115" s="4" t="n">
        <v>89.9</v>
      </c>
      <c r="I115" s="4" t="n">
        <v>0</v>
      </c>
      <c r="J115" s="4" t="n">
        <v>1</v>
      </c>
      <c r="K115" s="4" t="n">
        <v>0</v>
      </c>
      <c r="L115" s="5" t="n">
        <v>633494.21</v>
      </c>
      <c r="M115" s="5" t="n">
        <f aca="false">'6. Multiple Regression'!$B$14+'6. Multiple Regression'!$B$15*E115+'6. Multiple Regression'!$B$16*F115+'6. Multiple Regression'!$B$17*G115+'6. Multiple Regression'!$B$18*H115+'6. Multiple Regression'!$B$19*I115+'6. Multiple Regression'!$B$20*J115+'6. Multiple Regression'!$B$21*K115</f>
        <v>663832.044967057</v>
      </c>
      <c r="N115" s="5" t="n">
        <f aca="false">L115-M115</f>
        <v>-30337.834967057</v>
      </c>
      <c r="O115" s="5" t="n">
        <f aca="false">ABS(N115)</f>
        <v>30337.834967057</v>
      </c>
      <c r="P115" s="20" t="n">
        <f aca="false">N115/L115</f>
        <v>-0.0478896799499667</v>
      </c>
    </row>
    <row r="116" customFormat="false" ht="15" hidden="false" customHeight="false" outlineLevel="0" collapsed="false">
      <c r="A116" s="7" t="s">
        <v>55</v>
      </c>
      <c r="B116" s="7" t="s">
        <v>22</v>
      </c>
      <c r="C116" s="7" t="s">
        <v>18</v>
      </c>
      <c r="D116" s="7" t="s">
        <v>34</v>
      </c>
      <c r="E116" s="7" t="n">
        <v>4063</v>
      </c>
      <c r="F116" s="8" t="n">
        <v>52758.01</v>
      </c>
      <c r="G116" s="21" t="n">
        <v>0.057</v>
      </c>
      <c r="H116" s="7" t="n">
        <v>91.7</v>
      </c>
      <c r="I116" s="7" t="n">
        <v>0</v>
      </c>
      <c r="J116" s="7" t="n">
        <v>1</v>
      </c>
      <c r="K116" s="7" t="n">
        <v>0</v>
      </c>
      <c r="L116" s="8" t="n">
        <v>713611.16</v>
      </c>
      <c r="M116" s="8" t="n">
        <f aca="false">'6. Multiple Regression'!$B$14+'6. Multiple Regression'!$B$15*E116+'6. Multiple Regression'!$B$16*F116+'6. Multiple Regression'!$B$17*G116+'6. Multiple Regression'!$B$18*H116+'6. Multiple Regression'!$B$19*I116+'6. Multiple Regression'!$B$20*J116+'6. Multiple Regression'!$B$21*K116</f>
        <v>618465.839660021</v>
      </c>
      <c r="N116" s="8" t="n">
        <f aca="false">L116-M116</f>
        <v>95145.320339979</v>
      </c>
      <c r="O116" s="8" t="n">
        <f aca="false">ABS(N116)</f>
        <v>95145.320339979</v>
      </c>
      <c r="P116" s="22" t="n">
        <f aca="false">N116/L116</f>
        <v>0.13332936152509</v>
      </c>
    </row>
    <row r="117" customFormat="false" ht="15" hidden="false" customHeight="false" outlineLevel="0" collapsed="false">
      <c r="A117" s="4" t="s">
        <v>56</v>
      </c>
      <c r="B117" s="4" t="s">
        <v>17</v>
      </c>
      <c r="C117" s="4" t="s">
        <v>33</v>
      </c>
      <c r="D117" s="4" t="s">
        <v>34</v>
      </c>
      <c r="E117" s="4" t="n">
        <v>8966</v>
      </c>
      <c r="F117" s="5" t="n">
        <v>61426.04</v>
      </c>
      <c r="G117" s="19" t="n">
        <v>0.173</v>
      </c>
      <c r="H117" s="4" t="n">
        <v>76.4</v>
      </c>
      <c r="I117" s="4" t="n">
        <v>0</v>
      </c>
      <c r="J117" s="4" t="n">
        <v>1</v>
      </c>
      <c r="K117" s="4" t="n">
        <v>0</v>
      </c>
      <c r="L117" s="5" t="n">
        <v>778397.97</v>
      </c>
      <c r="M117" s="5" t="n">
        <f aca="false">'6. Multiple Regression'!$B$14+'6. Multiple Regression'!$B$15*E117+'6. Multiple Regression'!$B$16*F117+'6. Multiple Regression'!$B$17*G117+'6. Multiple Regression'!$B$18*H117+'6. Multiple Regression'!$B$19*I117+'6. Multiple Regression'!$B$20*J117+'6. Multiple Regression'!$B$21*K117</f>
        <v>740871.837772619</v>
      </c>
      <c r="N117" s="5" t="n">
        <f aca="false">L117-M117</f>
        <v>37526.132227381</v>
      </c>
      <c r="O117" s="5" t="n">
        <f aca="false">ABS(N117)</f>
        <v>37526.132227381</v>
      </c>
      <c r="P117" s="20" t="n">
        <f aca="false">N117/L117</f>
        <v>0.0482094425649401</v>
      </c>
    </row>
    <row r="118" customFormat="false" ht="15" hidden="false" customHeight="false" outlineLevel="0" collapsed="false">
      <c r="A118" s="7" t="s">
        <v>56</v>
      </c>
      <c r="B118" s="7" t="s">
        <v>20</v>
      </c>
      <c r="C118" s="7" t="s">
        <v>33</v>
      </c>
      <c r="D118" s="7" t="s">
        <v>34</v>
      </c>
      <c r="E118" s="7" t="n">
        <v>9489</v>
      </c>
      <c r="F118" s="8" t="n">
        <v>80176.34</v>
      </c>
      <c r="G118" s="21" t="n">
        <v>0.142</v>
      </c>
      <c r="H118" s="7" t="n">
        <v>94.3</v>
      </c>
      <c r="I118" s="7" t="n">
        <v>0</v>
      </c>
      <c r="J118" s="7" t="n">
        <v>1</v>
      </c>
      <c r="K118" s="7" t="n">
        <v>0</v>
      </c>
      <c r="L118" s="8" t="n">
        <v>873380.02</v>
      </c>
      <c r="M118" s="8" t="n">
        <f aca="false">'6. Multiple Regression'!$B$14+'6. Multiple Regression'!$B$15*E118+'6. Multiple Regression'!$B$16*F118+'6. Multiple Regression'!$B$17*G118+'6. Multiple Regression'!$B$18*H118+'6. Multiple Regression'!$B$19*I118+'6. Multiple Regression'!$B$20*J118+'6. Multiple Regression'!$B$21*K118</f>
        <v>835879.613120066</v>
      </c>
      <c r="N118" s="8" t="n">
        <f aca="false">L118-M118</f>
        <v>37500.406879934</v>
      </c>
      <c r="O118" s="8" t="n">
        <f aca="false">ABS(N118)</f>
        <v>37500.406879934</v>
      </c>
      <c r="P118" s="22" t="n">
        <f aca="false">N118/L118</f>
        <v>0.0429371018585175</v>
      </c>
    </row>
    <row r="119" customFormat="false" ht="15" hidden="false" customHeight="false" outlineLevel="0" collapsed="false">
      <c r="A119" s="4" t="s">
        <v>56</v>
      </c>
      <c r="B119" s="4" t="s">
        <v>21</v>
      </c>
      <c r="C119" s="4" t="s">
        <v>33</v>
      </c>
      <c r="D119" s="4" t="s">
        <v>34</v>
      </c>
      <c r="E119" s="4" t="n">
        <v>9225</v>
      </c>
      <c r="F119" s="5" t="n">
        <v>33605.18</v>
      </c>
      <c r="G119" s="19" t="n">
        <v>0.159</v>
      </c>
      <c r="H119" s="4" t="n">
        <v>88.4</v>
      </c>
      <c r="I119" s="4" t="n">
        <v>0</v>
      </c>
      <c r="J119" s="4" t="n">
        <v>1</v>
      </c>
      <c r="K119" s="4" t="n">
        <v>0</v>
      </c>
      <c r="L119" s="5" t="n">
        <v>697287.9</v>
      </c>
      <c r="M119" s="5" t="n">
        <f aca="false">'6. Multiple Regression'!$B$14+'6. Multiple Regression'!$B$15*E119+'6. Multiple Regression'!$B$16*F119+'6. Multiple Regression'!$B$17*G119+'6. Multiple Regression'!$B$18*H119+'6. Multiple Regression'!$B$19*I119+'6. Multiple Regression'!$B$20*J119+'6. Multiple Regression'!$B$21*K119</f>
        <v>754005.140840757</v>
      </c>
      <c r="N119" s="5" t="n">
        <f aca="false">L119-M119</f>
        <v>-56717.240840757</v>
      </c>
      <c r="O119" s="5" t="n">
        <f aca="false">ABS(N119)</f>
        <v>56717.240840757</v>
      </c>
      <c r="P119" s="20" t="n">
        <f aca="false">N119/L119</f>
        <v>-0.0813397749204554</v>
      </c>
    </row>
    <row r="120" customFormat="false" ht="15" hidden="false" customHeight="false" outlineLevel="0" collapsed="false">
      <c r="A120" s="7" t="s">
        <v>56</v>
      </c>
      <c r="B120" s="7" t="s">
        <v>22</v>
      </c>
      <c r="C120" s="7" t="s">
        <v>33</v>
      </c>
      <c r="D120" s="7" t="s">
        <v>34</v>
      </c>
      <c r="E120" s="7" t="n">
        <v>9249</v>
      </c>
      <c r="F120" s="8" t="n">
        <v>25990.54</v>
      </c>
      <c r="G120" s="21" t="n">
        <v>0.139</v>
      </c>
      <c r="H120" s="7" t="n">
        <v>92.5</v>
      </c>
      <c r="I120" s="7" t="n">
        <v>0</v>
      </c>
      <c r="J120" s="7" t="n">
        <v>1</v>
      </c>
      <c r="K120" s="7" t="n">
        <v>0</v>
      </c>
      <c r="L120" s="8" t="n">
        <v>718074.79</v>
      </c>
      <c r="M120" s="8" t="n">
        <f aca="false">'6. Multiple Regression'!$B$14+'6. Multiple Regression'!$B$15*E120+'6. Multiple Regression'!$B$16*F120+'6. Multiple Regression'!$B$17*G120+'6. Multiple Regression'!$B$18*H120+'6. Multiple Regression'!$B$19*I120+'6. Multiple Regression'!$B$20*J120+'6. Multiple Regression'!$B$21*K120</f>
        <v>759421.595472477</v>
      </c>
      <c r="N120" s="8" t="n">
        <f aca="false">L120-M120</f>
        <v>-41346.805472477</v>
      </c>
      <c r="O120" s="8" t="n">
        <f aca="false">ABS(N120)</f>
        <v>41346.805472477</v>
      </c>
      <c r="P120" s="22" t="n">
        <f aca="false">N120/L120</f>
        <v>-0.0575800822536563</v>
      </c>
    </row>
    <row r="121" customFormat="false" ht="15" hidden="false" customHeight="false" outlineLevel="0" collapsed="false">
      <c r="A121" s="4" t="s">
        <v>57</v>
      </c>
      <c r="B121" s="4" t="s">
        <v>17</v>
      </c>
      <c r="C121" s="4" t="s">
        <v>33</v>
      </c>
      <c r="D121" s="4" t="s">
        <v>19</v>
      </c>
      <c r="E121" s="4" t="n">
        <v>7821</v>
      </c>
      <c r="F121" s="5" t="n">
        <v>43685.14</v>
      </c>
      <c r="G121" s="19" t="n">
        <v>0.19</v>
      </c>
      <c r="H121" s="4" t="n">
        <v>91</v>
      </c>
      <c r="I121" s="4" t="n">
        <v>0</v>
      </c>
      <c r="J121" s="4" t="n">
        <v>0</v>
      </c>
      <c r="K121" s="4" t="n">
        <v>1</v>
      </c>
      <c r="L121" s="5" t="n">
        <v>714942.43</v>
      </c>
      <c r="M121" s="5" t="n">
        <f aca="false">'6. Multiple Regression'!$B$14+'6. Multiple Regression'!$B$15*E121+'6. Multiple Regression'!$B$16*F121+'6. Multiple Regression'!$B$17*G121+'6. Multiple Regression'!$B$18*H121+'6. Multiple Regression'!$B$19*I121+'6. Multiple Regression'!$B$20*J121+'6. Multiple Regression'!$B$21*K121</f>
        <v>696455.69140699</v>
      </c>
      <c r="N121" s="5" t="n">
        <f aca="false">L121-M121</f>
        <v>18486.7385930101</v>
      </c>
      <c r="O121" s="5" t="n">
        <f aca="false">ABS(N121)</f>
        <v>18486.7385930101</v>
      </c>
      <c r="P121" s="20" t="n">
        <f aca="false">N121/L121</f>
        <v>0.0258576604454853</v>
      </c>
    </row>
    <row r="122" customFormat="false" ht="15" hidden="false" customHeight="false" outlineLevel="0" collapsed="false">
      <c r="A122" s="7" t="s">
        <v>57</v>
      </c>
      <c r="B122" s="7" t="s">
        <v>20</v>
      </c>
      <c r="C122" s="7" t="s">
        <v>33</v>
      </c>
      <c r="D122" s="7" t="s">
        <v>19</v>
      </c>
      <c r="E122" s="7" t="n">
        <v>8434</v>
      </c>
      <c r="F122" s="8" t="n">
        <v>57360.01</v>
      </c>
      <c r="G122" s="21" t="n">
        <v>0.151</v>
      </c>
      <c r="H122" s="7" t="n">
        <v>84.1</v>
      </c>
      <c r="I122" s="7" t="n">
        <v>0</v>
      </c>
      <c r="J122" s="7" t="n">
        <v>0</v>
      </c>
      <c r="K122" s="7" t="n">
        <v>1</v>
      </c>
      <c r="L122" s="8" t="n">
        <v>820519.04</v>
      </c>
      <c r="M122" s="8" t="n">
        <f aca="false">'6. Multiple Regression'!$B$14+'6. Multiple Regression'!$B$15*E122+'6. Multiple Regression'!$B$16*F122+'6. Multiple Regression'!$B$17*G122+'6. Multiple Regression'!$B$18*H122+'6. Multiple Regression'!$B$19*I122+'6. Multiple Regression'!$B$20*J122+'6. Multiple Regression'!$B$21*K122</f>
        <v>714619.598038943</v>
      </c>
      <c r="N122" s="8" t="n">
        <f aca="false">L122-M122</f>
        <v>105899.441961057</v>
      </c>
      <c r="O122" s="8" t="n">
        <f aca="false">ABS(N122)</f>
        <v>105899.441961057</v>
      </c>
      <c r="P122" s="22" t="n">
        <f aca="false">N122/L122</f>
        <v>0.129063966585172</v>
      </c>
    </row>
    <row r="123" customFormat="false" ht="15" hidden="false" customHeight="false" outlineLevel="0" collapsed="false">
      <c r="A123" s="4" t="s">
        <v>57</v>
      </c>
      <c r="B123" s="4" t="s">
        <v>21</v>
      </c>
      <c r="C123" s="4" t="s">
        <v>33</v>
      </c>
      <c r="D123" s="4" t="s">
        <v>19</v>
      </c>
      <c r="E123" s="4" t="n">
        <v>8512</v>
      </c>
      <c r="F123" s="5" t="n">
        <v>42415.47</v>
      </c>
      <c r="G123" s="19" t="n">
        <v>0.133</v>
      </c>
      <c r="H123" s="4" t="n">
        <v>96.8</v>
      </c>
      <c r="I123" s="4" t="n">
        <v>0</v>
      </c>
      <c r="J123" s="4" t="n">
        <v>0</v>
      </c>
      <c r="K123" s="4" t="n">
        <v>1</v>
      </c>
      <c r="L123" s="5" t="n">
        <v>684217.32</v>
      </c>
      <c r="M123" s="5" t="n">
        <f aca="false">'6. Multiple Regression'!$B$14+'6. Multiple Regression'!$B$15*E123+'6. Multiple Regression'!$B$16*F123+'6. Multiple Regression'!$B$17*G123+'6. Multiple Regression'!$B$18*H123+'6. Multiple Regression'!$B$19*I123+'6. Multiple Regression'!$B$20*J123+'6. Multiple Regression'!$B$21*K123</f>
        <v>739003.424849089</v>
      </c>
      <c r="N123" s="5" t="n">
        <f aca="false">L123-M123</f>
        <v>-54786.1048490889</v>
      </c>
      <c r="O123" s="5" t="n">
        <f aca="false">ABS(N123)</f>
        <v>54786.1048490889</v>
      </c>
      <c r="P123" s="20" t="n">
        <f aca="false">N123/L123</f>
        <v>-0.0800712043493563</v>
      </c>
    </row>
    <row r="124" customFormat="false" ht="15" hidden="false" customHeight="false" outlineLevel="0" collapsed="false">
      <c r="A124" s="7" t="s">
        <v>57</v>
      </c>
      <c r="B124" s="7" t="s">
        <v>22</v>
      </c>
      <c r="C124" s="7" t="s">
        <v>33</v>
      </c>
      <c r="D124" s="7" t="s">
        <v>19</v>
      </c>
      <c r="E124" s="7" t="n">
        <v>7816</v>
      </c>
      <c r="F124" s="8" t="n">
        <v>54968.98</v>
      </c>
      <c r="G124" s="21" t="n">
        <v>0.232</v>
      </c>
      <c r="H124" s="7" t="n">
        <v>95.7</v>
      </c>
      <c r="I124" s="7" t="n">
        <v>0</v>
      </c>
      <c r="J124" s="7" t="n">
        <v>0</v>
      </c>
      <c r="K124" s="7" t="n">
        <v>1</v>
      </c>
      <c r="L124" s="8" t="n">
        <v>735480.19</v>
      </c>
      <c r="M124" s="8" t="n">
        <f aca="false">'6. Multiple Regression'!$B$14+'6. Multiple Regression'!$B$15*E124+'6. Multiple Regression'!$B$16*F124+'6. Multiple Regression'!$B$17*G124+'6. Multiple Regression'!$B$18*H124+'6. Multiple Regression'!$B$19*I124+'6. Multiple Regression'!$B$20*J124+'6. Multiple Regression'!$B$21*K124</f>
        <v>721069.551837256</v>
      </c>
      <c r="N124" s="8" t="n">
        <f aca="false">L124-M124</f>
        <v>14410.638162744</v>
      </c>
      <c r="O124" s="8" t="n">
        <f aca="false">ABS(N124)</f>
        <v>14410.638162744</v>
      </c>
      <c r="P124" s="22" t="n">
        <f aca="false">N124/L124</f>
        <v>0.0195935095991423</v>
      </c>
    </row>
    <row r="125" customFormat="false" ht="15" hidden="false" customHeight="false" outlineLevel="0" collapsed="false">
      <c r="A125" s="4" t="s">
        <v>58</v>
      </c>
      <c r="B125" s="4" t="s">
        <v>17</v>
      </c>
      <c r="C125" s="4" t="s">
        <v>26</v>
      </c>
      <c r="D125" s="4" t="s">
        <v>24</v>
      </c>
      <c r="E125" s="4" t="n">
        <v>3853</v>
      </c>
      <c r="F125" s="5" t="n">
        <v>43896.13</v>
      </c>
      <c r="G125" s="19" t="n">
        <v>0.088</v>
      </c>
      <c r="H125" s="4" t="n">
        <v>83</v>
      </c>
      <c r="I125" s="4" t="n">
        <v>0</v>
      </c>
      <c r="J125" s="4" t="n">
        <v>0</v>
      </c>
      <c r="K125" s="4" t="n">
        <v>0</v>
      </c>
      <c r="L125" s="5" t="n">
        <v>509484.81</v>
      </c>
      <c r="M125" s="5" t="n">
        <f aca="false">'6. Multiple Regression'!$B$14+'6. Multiple Regression'!$B$15*E125+'6. Multiple Regression'!$B$16*F125+'6. Multiple Regression'!$B$17*G125+'6. Multiple Regression'!$B$18*H125+'6. Multiple Regression'!$B$19*I125+'6. Multiple Regression'!$B$20*J125+'6. Multiple Regression'!$B$21*K125</f>
        <v>561697.444118634</v>
      </c>
      <c r="N125" s="5" t="n">
        <f aca="false">L125-M125</f>
        <v>-52212.634118634</v>
      </c>
      <c r="O125" s="5" t="n">
        <f aca="false">ABS(N125)</f>
        <v>52212.634118634</v>
      </c>
      <c r="P125" s="20" t="n">
        <f aca="false">N125/L125</f>
        <v>-0.102481238093505</v>
      </c>
    </row>
    <row r="126" customFormat="false" ht="15" hidden="false" customHeight="false" outlineLevel="0" collapsed="false">
      <c r="A126" s="7" t="s">
        <v>58</v>
      </c>
      <c r="B126" s="7" t="s">
        <v>20</v>
      </c>
      <c r="C126" s="7" t="s">
        <v>26</v>
      </c>
      <c r="D126" s="7" t="s">
        <v>24</v>
      </c>
      <c r="E126" s="7" t="n">
        <v>3694</v>
      </c>
      <c r="F126" s="8" t="n">
        <v>83044.17</v>
      </c>
      <c r="G126" s="21" t="n">
        <v>0</v>
      </c>
      <c r="H126" s="7" t="n">
        <v>89.4</v>
      </c>
      <c r="I126" s="7" t="n">
        <v>0</v>
      </c>
      <c r="J126" s="7" t="n">
        <v>0</v>
      </c>
      <c r="K126" s="7" t="n">
        <v>0</v>
      </c>
      <c r="L126" s="8" t="n">
        <v>654317.09</v>
      </c>
      <c r="M126" s="8" t="n">
        <f aca="false">'6. Multiple Regression'!$B$14+'6. Multiple Regression'!$B$15*E126+'6. Multiple Regression'!$B$16*F126+'6. Multiple Regression'!$B$17*G126+'6. Multiple Regression'!$B$18*H126+'6. Multiple Regression'!$B$19*I126+'6. Multiple Regression'!$B$20*J126+'6. Multiple Regression'!$B$21*K126</f>
        <v>626364.25382981</v>
      </c>
      <c r="N126" s="8" t="n">
        <f aca="false">L126-M126</f>
        <v>27952.8361701899</v>
      </c>
      <c r="O126" s="8" t="n">
        <f aca="false">ABS(N126)</f>
        <v>27952.8361701899</v>
      </c>
      <c r="P126" s="22" t="n">
        <f aca="false">N126/L126</f>
        <v>0.0427206267380085</v>
      </c>
    </row>
    <row r="127" customFormat="false" ht="15" hidden="false" customHeight="false" outlineLevel="0" collapsed="false">
      <c r="A127" s="4" t="s">
        <v>58</v>
      </c>
      <c r="B127" s="4" t="s">
        <v>21</v>
      </c>
      <c r="C127" s="4" t="s">
        <v>26</v>
      </c>
      <c r="D127" s="4" t="s">
        <v>24</v>
      </c>
      <c r="E127" s="4" t="n">
        <v>4423</v>
      </c>
      <c r="F127" s="5" t="n">
        <v>48396.13</v>
      </c>
      <c r="G127" s="19" t="n">
        <v>0.069</v>
      </c>
      <c r="H127" s="4" t="n">
        <v>85.7</v>
      </c>
      <c r="I127" s="4" t="n">
        <v>0</v>
      </c>
      <c r="J127" s="4" t="n">
        <v>0</v>
      </c>
      <c r="K127" s="4" t="n">
        <v>0</v>
      </c>
      <c r="L127" s="5" t="n">
        <v>557487.26</v>
      </c>
      <c r="M127" s="5" t="n">
        <f aca="false">'6. Multiple Regression'!$B$14+'6. Multiple Regression'!$B$15*E127+'6. Multiple Regression'!$B$16*F127+'6. Multiple Regression'!$B$17*G127+'6. Multiple Regression'!$B$18*H127+'6. Multiple Regression'!$B$19*I127+'6. Multiple Regression'!$B$20*J127+'6. Multiple Regression'!$B$21*K127</f>
        <v>595353.597203937</v>
      </c>
      <c r="N127" s="5" t="n">
        <f aca="false">L127-M127</f>
        <v>-37866.337203937</v>
      </c>
      <c r="O127" s="5" t="n">
        <f aca="false">ABS(N127)</f>
        <v>37866.337203937</v>
      </c>
      <c r="P127" s="20" t="n">
        <f aca="false">N127/L127</f>
        <v>-0.06792323326624</v>
      </c>
    </row>
    <row r="128" customFormat="false" ht="15" hidden="false" customHeight="false" outlineLevel="0" collapsed="false">
      <c r="A128" s="7" t="s">
        <v>58</v>
      </c>
      <c r="B128" s="7" t="s">
        <v>22</v>
      </c>
      <c r="C128" s="7" t="s">
        <v>26</v>
      </c>
      <c r="D128" s="7" t="s">
        <v>24</v>
      </c>
      <c r="E128" s="7" t="n">
        <v>1906</v>
      </c>
      <c r="F128" s="8" t="n">
        <v>19063.48</v>
      </c>
      <c r="G128" s="21" t="n">
        <v>0.216</v>
      </c>
      <c r="H128" s="7" t="n">
        <v>97.8</v>
      </c>
      <c r="I128" s="7" t="n">
        <v>0</v>
      </c>
      <c r="J128" s="7" t="n">
        <v>0</v>
      </c>
      <c r="K128" s="7" t="n">
        <v>0</v>
      </c>
      <c r="L128" s="8" t="n">
        <v>441275.42</v>
      </c>
      <c r="M128" s="8" t="n">
        <f aca="false">'6. Multiple Regression'!$B$14+'6. Multiple Regression'!$B$15*E128+'6. Multiple Regression'!$B$16*F128+'6. Multiple Regression'!$B$17*G128+'6. Multiple Regression'!$B$18*H128+'6. Multiple Regression'!$B$19*I128+'6. Multiple Regression'!$B$20*J128+'6. Multiple Regression'!$B$21*K128</f>
        <v>504086.400983248</v>
      </c>
      <c r="N128" s="8" t="n">
        <f aca="false">L128-M128</f>
        <v>-62810.980983248</v>
      </c>
      <c r="O128" s="8" t="n">
        <f aca="false">ABS(N128)</f>
        <v>62810.980983248</v>
      </c>
      <c r="P128" s="22" t="n">
        <f aca="false">N128/L128</f>
        <v>-0.142339632203507</v>
      </c>
    </row>
    <row r="129" customFormat="false" ht="15" hidden="false" customHeight="false" outlineLevel="0" collapsed="false">
      <c r="A129" s="4" t="s">
        <v>59</v>
      </c>
      <c r="B129" s="4" t="s">
        <v>17</v>
      </c>
      <c r="C129" s="4" t="s">
        <v>30</v>
      </c>
      <c r="D129" s="4" t="s">
        <v>24</v>
      </c>
      <c r="E129" s="4" t="n">
        <v>10396</v>
      </c>
      <c r="F129" s="5" t="n">
        <v>61541.21</v>
      </c>
      <c r="G129" s="19" t="n">
        <v>0.123</v>
      </c>
      <c r="H129" s="4" t="n">
        <v>88.1</v>
      </c>
      <c r="I129" s="4" t="n">
        <v>0</v>
      </c>
      <c r="J129" s="4" t="n">
        <v>0</v>
      </c>
      <c r="K129" s="4" t="n">
        <v>0</v>
      </c>
      <c r="L129" s="5" t="n">
        <v>914544.17</v>
      </c>
      <c r="M129" s="5" t="n">
        <f aca="false">'6. Multiple Regression'!$B$14+'6. Multiple Regression'!$B$15*E129+'6. Multiple Regression'!$B$16*F129+'6. Multiple Regression'!$B$17*G129+'6. Multiple Regression'!$B$18*H129+'6. Multiple Regression'!$B$19*I129+'6. Multiple Regression'!$B$20*J129+'6. Multiple Regression'!$B$21*K129</f>
        <v>815772.733110779</v>
      </c>
      <c r="N129" s="5" t="n">
        <f aca="false">L129-M129</f>
        <v>98771.4368892211</v>
      </c>
      <c r="O129" s="5" t="n">
        <f aca="false">ABS(N129)</f>
        <v>98771.4368892211</v>
      </c>
      <c r="P129" s="20" t="n">
        <f aca="false">N129/L129</f>
        <v>0.108000728810311</v>
      </c>
    </row>
    <row r="130" customFormat="false" ht="15" hidden="false" customHeight="false" outlineLevel="0" collapsed="false">
      <c r="A130" s="7" t="s">
        <v>59</v>
      </c>
      <c r="B130" s="7" t="s">
        <v>20</v>
      </c>
      <c r="C130" s="7" t="s">
        <v>30</v>
      </c>
      <c r="D130" s="7" t="s">
        <v>24</v>
      </c>
      <c r="E130" s="7" t="n">
        <v>11076</v>
      </c>
      <c r="F130" s="8" t="n">
        <v>44747</v>
      </c>
      <c r="G130" s="21" t="n">
        <v>0.176</v>
      </c>
      <c r="H130" s="7" t="n">
        <v>98.3</v>
      </c>
      <c r="I130" s="7" t="n">
        <v>0</v>
      </c>
      <c r="J130" s="7" t="n">
        <v>0</v>
      </c>
      <c r="K130" s="7" t="n">
        <v>0</v>
      </c>
      <c r="L130" s="8" t="n">
        <v>842439.67</v>
      </c>
      <c r="M130" s="8" t="n">
        <f aca="false">'6. Multiple Regression'!$B$14+'6. Multiple Regression'!$B$15*E130+'6. Multiple Regression'!$B$16*F130+'6. Multiple Regression'!$B$17*G130+'6. Multiple Regression'!$B$18*H130+'6. Multiple Regression'!$B$19*I130+'6. Multiple Regression'!$B$20*J130+'6. Multiple Regression'!$B$21*K130</f>
        <v>846580.387738588</v>
      </c>
      <c r="N130" s="8" t="n">
        <f aca="false">L130-M130</f>
        <v>-4140.71773858799</v>
      </c>
      <c r="O130" s="8" t="n">
        <f aca="false">ABS(N130)</f>
        <v>4140.71773858799</v>
      </c>
      <c r="P130" s="22" t="n">
        <f aca="false">N130/L130</f>
        <v>-0.00491515046838665</v>
      </c>
    </row>
    <row r="131" customFormat="false" ht="15" hidden="false" customHeight="false" outlineLevel="0" collapsed="false">
      <c r="A131" s="4" t="s">
        <v>59</v>
      </c>
      <c r="B131" s="4" t="s">
        <v>21</v>
      </c>
      <c r="C131" s="4" t="s">
        <v>30</v>
      </c>
      <c r="D131" s="4" t="s">
        <v>24</v>
      </c>
      <c r="E131" s="4" t="n">
        <v>9574</v>
      </c>
      <c r="F131" s="5" t="n">
        <v>56517.9</v>
      </c>
      <c r="G131" s="19" t="n">
        <v>0.204</v>
      </c>
      <c r="H131" s="4" t="n">
        <v>88.2</v>
      </c>
      <c r="I131" s="4" t="n">
        <v>0</v>
      </c>
      <c r="J131" s="4" t="n">
        <v>0</v>
      </c>
      <c r="K131" s="4" t="n">
        <v>0</v>
      </c>
      <c r="L131" s="5" t="n">
        <v>842157.92</v>
      </c>
      <c r="M131" s="5" t="n">
        <f aca="false">'6. Multiple Regression'!$B$14+'6. Multiple Regression'!$B$15*E131+'6. Multiple Regression'!$B$16*F131+'6. Multiple Regression'!$B$17*G131+'6. Multiple Regression'!$B$18*H131+'6. Multiple Regression'!$B$19*I131+'6. Multiple Regression'!$B$20*J131+'6. Multiple Regression'!$B$21*K131</f>
        <v>777773.493767552</v>
      </c>
      <c r="N131" s="5" t="n">
        <f aca="false">L131-M131</f>
        <v>64384.426232448</v>
      </c>
      <c r="O131" s="5" t="n">
        <f aca="false">ABS(N131)</f>
        <v>64384.426232448</v>
      </c>
      <c r="P131" s="20" t="n">
        <f aca="false">N131/L131</f>
        <v>0.0764517256246287</v>
      </c>
    </row>
    <row r="132" customFormat="false" ht="15" hidden="false" customHeight="false" outlineLevel="0" collapsed="false">
      <c r="A132" s="7" t="s">
        <v>59</v>
      </c>
      <c r="B132" s="7" t="s">
        <v>22</v>
      </c>
      <c r="C132" s="7" t="s">
        <v>30</v>
      </c>
      <c r="D132" s="7" t="s">
        <v>24</v>
      </c>
      <c r="E132" s="7" t="n">
        <v>8221</v>
      </c>
      <c r="F132" s="8" t="n">
        <v>37828.5</v>
      </c>
      <c r="G132" s="21" t="n">
        <v>0.096</v>
      </c>
      <c r="H132" s="7" t="n">
        <v>81.5</v>
      </c>
      <c r="I132" s="7" t="n">
        <v>0</v>
      </c>
      <c r="J132" s="7" t="n">
        <v>0</v>
      </c>
      <c r="K132" s="7" t="n">
        <v>0</v>
      </c>
      <c r="L132" s="8" t="n">
        <v>697155.3</v>
      </c>
      <c r="M132" s="8" t="n">
        <f aca="false">'6. Multiple Regression'!$B$14+'6. Multiple Regression'!$B$15*E132+'6. Multiple Regression'!$B$16*F132+'6. Multiple Regression'!$B$17*G132+'6. Multiple Regression'!$B$18*H132+'6. Multiple Regression'!$B$19*I132+'6. Multiple Regression'!$B$20*J132+'6. Multiple Regression'!$B$21*K132</f>
        <v>696698.624854048</v>
      </c>
      <c r="N132" s="8" t="n">
        <f aca="false">L132-M132</f>
        <v>456.675145952031</v>
      </c>
      <c r="O132" s="8" t="n">
        <f aca="false">ABS(N132)</f>
        <v>456.675145952031</v>
      </c>
      <c r="P132" s="22" t="n">
        <f aca="false">N132/L132</f>
        <v>0.000655055116058116</v>
      </c>
    </row>
    <row r="133" customFormat="false" ht="15" hidden="false" customHeight="false" outlineLevel="0" collapsed="false">
      <c r="A133" s="4" t="s">
        <v>60</v>
      </c>
      <c r="B133" s="4" t="s">
        <v>17</v>
      </c>
      <c r="C133" s="4" t="s">
        <v>18</v>
      </c>
      <c r="D133" s="4" t="s">
        <v>24</v>
      </c>
      <c r="E133" s="4" t="n">
        <v>10618</v>
      </c>
      <c r="F133" s="5" t="n">
        <v>66250.53</v>
      </c>
      <c r="G133" s="19" t="n">
        <v>0.142</v>
      </c>
      <c r="H133" s="4" t="n">
        <v>88.3</v>
      </c>
      <c r="I133" s="4" t="n">
        <v>0</v>
      </c>
      <c r="J133" s="4" t="n">
        <v>0</v>
      </c>
      <c r="K133" s="4" t="n">
        <v>0</v>
      </c>
      <c r="L133" s="5" t="n">
        <v>849018.3</v>
      </c>
      <c r="M133" s="5" t="n">
        <f aca="false">'6. Multiple Regression'!$B$14+'6. Multiple Regression'!$B$15*E133+'6. Multiple Regression'!$B$16*F133+'6. Multiple Regression'!$B$17*G133+'6. Multiple Regression'!$B$18*H133+'6. Multiple Regression'!$B$19*I133+'6. Multiple Regression'!$B$20*J133+'6. Multiple Regression'!$B$21*K133</f>
        <v>828215.654324736</v>
      </c>
      <c r="N133" s="5" t="n">
        <f aca="false">L133-M133</f>
        <v>20802.6456752641</v>
      </c>
      <c r="O133" s="5" t="n">
        <f aca="false">ABS(N133)</f>
        <v>20802.6456752641</v>
      </c>
      <c r="P133" s="20" t="n">
        <f aca="false">N133/L133</f>
        <v>0.0245019991621665</v>
      </c>
    </row>
    <row r="134" customFormat="false" ht="15" hidden="false" customHeight="false" outlineLevel="0" collapsed="false">
      <c r="A134" s="7" t="s">
        <v>60</v>
      </c>
      <c r="B134" s="7" t="s">
        <v>20</v>
      </c>
      <c r="C134" s="7" t="s">
        <v>18</v>
      </c>
      <c r="D134" s="7" t="s">
        <v>24</v>
      </c>
      <c r="E134" s="7" t="n">
        <v>10596</v>
      </c>
      <c r="F134" s="8" t="n">
        <v>68410.93</v>
      </c>
      <c r="G134" s="21" t="n">
        <v>0.207</v>
      </c>
      <c r="H134" s="7" t="n">
        <v>81.2</v>
      </c>
      <c r="I134" s="7" t="n">
        <v>0</v>
      </c>
      <c r="J134" s="7" t="n">
        <v>0</v>
      </c>
      <c r="K134" s="7" t="n">
        <v>0</v>
      </c>
      <c r="L134" s="8" t="n">
        <v>801830.35</v>
      </c>
      <c r="M134" s="8" t="n">
        <f aca="false">'6. Multiple Regression'!$B$14+'6. Multiple Regression'!$B$15*E134+'6. Multiple Regression'!$B$16*F134+'6. Multiple Regression'!$B$17*G134+'6. Multiple Regression'!$B$18*H134+'6. Multiple Regression'!$B$19*I134+'6. Multiple Regression'!$B$20*J134+'6. Multiple Regression'!$B$21*K134</f>
        <v>804854.626535531</v>
      </c>
      <c r="N134" s="8" t="n">
        <f aca="false">L134-M134</f>
        <v>-3024.27653553104</v>
      </c>
      <c r="O134" s="8" t="n">
        <f aca="false">ABS(N134)</f>
        <v>3024.27653553104</v>
      </c>
      <c r="P134" s="22" t="n">
        <f aca="false">N134/L134</f>
        <v>-0.00377171621843828</v>
      </c>
    </row>
    <row r="135" customFormat="false" ht="15" hidden="false" customHeight="false" outlineLevel="0" collapsed="false">
      <c r="A135" s="4" t="s">
        <v>60</v>
      </c>
      <c r="B135" s="4" t="s">
        <v>21</v>
      </c>
      <c r="C135" s="4" t="s">
        <v>18</v>
      </c>
      <c r="D135" s="4" t="s">
        <v>24</v>
      </c>
      <c r="E135" s="4" t="n">
        <v>9619</v>
      </c>
      <c r="F135" s="5" t="n">
        <v>50735.63</v>
      </c>
      <c r="G135" s="19" t="n">
        <v>0.144</v>
      </c>
      <c r="H135" s="4" t="n">
        <v>93.8</v>
      </c>
      <c r="I135" s="4" t="n">
        <v>0</v>
      </c>
      <c r="J135" s="4" t="n">
        <v>0</v>
      </c>
      <c r="K135" s="4" t="n">
        <v>0</v>
      </c>
      <c r="L135" s="5" t="n">
        <v>725235.28</v>
      </c>
      <c r="M135" s="5" t="n">
        <f aca="false">'6. Multiple Regression'!$B$14+'6. Multiple Regression'!$B$15*E135+'6. Multiple Regression'!$B$16*F135+'6. Multiple Regression'!$B$17*G135+'6. Multiple Regression'!$B$18*H135+'6. Multiple Regression'!$B$19*I135+'6. Multiple Regression'!$B$20*J135+'6. Multiple Regression'!$B$21*K135</f>
        <v>792891.141147662</v>
      </c>
      <c r="N135" s="5" t="n">
        <f aca="false">L135-M135</f>
        <v>-67655.8611476619</v>
      </c>
      <c r="O135" s="5" t="n">
        <f aca="false">ABS(N135)</f>
        <v>67655.8611476619</v>
      </c>
      <c r="P135" s="20" t="n">
        <f aca="false">N135/L135</f>
        <v>-0.0932881549111372</v>
      </c>
    </row>
    <row r="136" customFormat="false" ht="15" hidden="false" customHeight="false" outlineLevel="0" collapsed="false">
      <c r="A136" s="7" t="s">
        <v>60</v>
      </c>
      <c r="B136" s="7" t="s">
        <v>22</v>
      </c>
      <c r="C136" s="7" t="s">
        <v>18</v>
      </c>
      <c r="D136" s="7" t="s">
        <v>24</v>
      </c>
      <c r="E136" s="7" t="n">
        <v>10836</v>
      </c>
      <c r="F136" s="8" t="n">
        <v>66455.8</v>
      </c>
      <c r="G136" s="21" t="n">
        <v>0.089</v>
      </c>
      <c r="H136" s="7" t="n">
        <v>85</v>
      </c>
      <c r="I136" s="7" t="n">
        <v>0</v>
      </c>
      <c r="J136" s="7" t="n">
        <v>0</v>
      </c>
      <c r="K136" s="7" t="n">
        <v>0</v>
      </c>
      <c r="L136" s="8" t="n">
        <v>811452.72</v>
      </c>
      <c r="M136" s="8" t="n">
        <f aca="false">'6. Multiple Regression'!$B$14+'6. Multiple Regression'!$B$15*E136+'6. Multiple Regression'!$B$16*F136+'6. Multiple Regression'!$B$17*G136+'6. Multiple Regression'!$B$18*H136+'6. Multiple Regression'!$B$19*I136+'6. Multiple Regression'!$B$20*J136+'6. Multiple Regression'!$B$21*K136</f>
        <v>829012.592304007</v>
      </c>
      <c r="N136" s="8" t="n">
        <f aca="false">L136-M136</f>
        <v>-17559.8723040071</v>
      </c>
      <c r="O136" s="8" t="n">
        <f aca="false">ABS(N136)</f>
        <v>17559.8723040071</v>
      </c>
      <c r="P136" s="22" t="n">
        <f aca="false">N136/L136</f>
        <v>-0.0216400436787088</v>
      </c>
    </row>
    <row r="137" customFormat="false" ht="15" hidden="false" customHeight="false" outlineLevel="0" collapsed="false">
      <c r="A137" s="4" t="s">
        <v>61</v>
      </c>
      <c r="B137" s="4" t="s">
        <v>17</v>
      </c>
      <c r="C137" s="4" t="s">
        <v>26</v>
      </c>
      <c r="D137" s="4" t="s">
        <v>24</v>
      </c>
      <c r="E137" s="4" t="n">
        <v>3043</v>
      </c>
      <c r="F137" s="5" t="n">
        <v>70276.28</v>
      </c>
      <c r="G137" s="19" t="n">
        <v>0.079</v>
      </c>
      <c r="H137" s="4" t="n">
        <v>87.9</v>
      </c>
      <c r="I137" s="4" t="n">
        <v>0</v>
      </c>
      <c r="J137" s="4" t="n">
        <v>0</v>
      </c>
      <c r="K137" s="4" t="n">
        <v>0</v>
      </c>
      <c r="L137" s="5" t="n">
        <v>527300.13</v>
      </c>
      <c r="M137" s="5" t="n">
        <f aca="false">'6. Multiple Regression'!$B$14+'6. Multiple Regression'!$B$15*E137+'6. Multiple Regression'!$B$16*F137+'6. Multiple Regression'!$B$17*G137+'6. Multiple Regression'!$B$18*H137+'6. Multiple Regression'!$B$19*I137+'6. Multiple Regression'!$B$20*J137+'6. Multiple Regression'!$B$21*K137</f>
        <v>580411.302449517</v>
      </c>
      <c r="N137" s="5" t="n">
        <f aca="false">L137-M137</f>
        <v>-53111.172449517</v>
      </c>
      <c r="O137" s="5" t="n">
        <f aca="false">ABS(N137)</f>
        <v>53111.172449517</v>
      </c>
      <c r="P137" s="20" t="n">
        <f aca="false">N137/L137</f>
        <v>-0.100722851044086</v>
      </c>
    </row>
    <row r="138" customFormat="false" ht="15" hidden="false" customHeight="false" outlineLevel="0" collapsed="false">
      <c r="A138" s="7" t="s">
        <v>61</v>
      </c>
      <c r="B138" s="7" t="s">
        <v>20</v>
      </c>
      <c r="C138" s="7" t="s">
        <v>26</v>
      </c>
      <c r="D138" s="7" t="s">
        <v>24</v>
      </c>
      <c r="E138" s="7" t="n">
        <v>1814</v>
      </c>
      <c r="F138" s="8" t="n">
        <v>22071.64</v>
      </c>
      <c r="G138" s="21" t="n">
        <v>0.196</v>
      </c>
      <c r="H138" s="7" t="n">
        <v>81.1</v>
      </c>
      <c r="I138" s="7" t="n">
        <v>0</v>
      </c>
      <c r="J138" s="7" t="n">
        <v>0</v>
      </c>
      <c r="K138" s="7" t="n">
        <v>0</v>
      </c>
      <c r="L138" s="8" t="n">
        <v>400831.65</v>
      </c>
      <c r="M138" s="8" t="n">
        <f aca="false">'6. Multiple Regression'!$B$14+'6. Multiple Regression'!$B$15*E138+'6. Multiple Regression'!$B$16*F138+'6. Multiple Regression'!$B$17*G138+'6. Multiple Regression'!$B$18*H138+'6. Multiple Regression'!$B$19*I138+'6. Multiple Regression'!$B$20*J138+'6. Multiple Regression'!$B$21*K138</f>
        <v>455553.713011368</v>
      </c>
      <c r="N138" s="8" t="n">
        <f aca="false">L138-M138</f>
        <v>-54722.0630113679</v>
      </c>
      <c r="O138" s="8" t="n">
        <f aca="false">ABS(N138)</f>
        <v>54722.0630113679</v>
      </c>
      <c r="P138" s="22" t="n">
        <f aca="false">N138/L138</f>
        <v>-0.136521312654248</v>
      </c>
    </row>
    <row r="139" customFormat="false" ht="15" hidden="false" customHeight="false" outlineLevel="0" collapsed="false">
      <c r="A139" s="4" t="s">
        <v>61</v>
      </c>
      <c r="B139" s="4" t="s">
        <v>21</v>
      </c>
      <c r="C139" s="4" t="s">
        <v>26</v>
      </c>
      <c r="D139" s="4" t="s">
        <v>24</v>
      </c>
      <c r="E139" s="4" t="n">
        <v>3618</v>
      </c>
      <c r="F139" s="5" t="n">
        <v>52285.45</v>
      </c>
      <c r="G139" s="19" t="n">
        <v>0.086</v>
      </c>
      <c r="H139" s="4" t="n">
        <v>95.6</v>
      </c>
      <c r="I139" s="4" t="n">
        <v>0</v>
      </c>
      <c r="J139" s="4" t="n">
        <v>0</v>
      </c>
      <c r="K139" s="4" t="n">
        <v>0</v>
      </c>
      <c r="L139" s="5" t="n">
        <v>593247.25</v>
      </c>
      <c r="M139" s="5" t="n">
        <f aca="false">'6. Multiple Regression'!$B$14+'6. Multiple Regression'!$B$15*E139+'6. Multiple Regression'!$B$16*F139+'6. Multiple Regression'!$B$17*G139+'6. Multiple Regression'!$B$18*H139+'6. Multiple Regression'!$B$19*I139+'6. Multiple Regression'!$B$20*J139+'6. Multiple Regression'!$B$21*K139</f>
        <v>601496.910175268</v>
      </c>
      <c r="N139" s="5" t="n">
        <f aca="false">L139-M139</f>
        <v>-8249.66017526796</v>
      </c>
      <c r="O139" s="5" t="n">
        <f aca="false">ABS(N139)</f>
        <v>8249.66017526796</v>
      </c>
      <c r="P139" s="20" t="n">
        <f aca="false">N139/L139</f>
        <v>-0.0139059391767395</v>
      </c>
    </row>
    <row r="140" customFormat="false" ht="15" hidden="false" customHeight="false" outlineLevel="0" collapsed="false">
      <c r="A140" s="7" t="s">
        <v>61</v>
      </c>
      <c r="B140" s="7" t="s">
        <v>22</v>
      </c>
      <c r="C140" s="7" t="s">
        <v>26</v>
      </c>
      <c r="D140" s="7" t="s">
        <v>24</v>
      </c>
      <c r="E140" s="7" t="n">
        <v>1963</v>
      </c>
      <c r="F140" s="8" t="n">
        <v>70366.76</v>
      </c>
      <c r="G140" s="21" t="n">
        <v>0.182</v>
      </c>
      <c r="H140" s="7" t="n">
        <v>89.8</v>
      </c>
      <c r="I140" s="7" t="n">
        <v>0</v>
      </c>
      <c r="J140" s="7" t="n">
        <v>0</v>
      </c>
      <c r="K140" s="7" t="n">
        <v>0</v>
      </c>
      <c r="L140" s="8" t="n">
        <v>529075.95</v>
      </c>
      <c r="M140" s="8" t="n">
        <f aca="false">'6. Multiple Regression'!$B$14+'6. Multiple Regression'!$B$15*E140+'6. Multiple Regression'!$B$16*F140+'6. Multiple Regression'!$B$17*G140+'6. Multiple Regression'!$B$18*H140+'6. Multiple Regression'!$B$19*I140+'6. Multiple Regression'!$B$20*J140+'6. Multiple Regression'!$B$21*K140</f>
        <v>543792.627581146</v>
      </c>
      <c r="N140" s="8" t="n">
        <f aca="false">L140-M140</f>
        <v>-14716.677581146</v>
      </c>
      <c r="O140" s="8" t="n">
        <f aca="false">ABS(N140)</f>
        <v>14716.677581146</v>
      </c>
      <c r="P140" s="22" t="n">
        <f aca="false">N140/L140</f>
        <v>-0.0278158127980416</v>
      </c>
    </row>
    <row r="141" customFormat="false" ht="15" hidden="false" customHeight="false" outlineLevel="0" collapsed="false">
      <c r="A141" s="4" t="s">
        <v>62</v>
      </c>
      <c r="B141" s="4" t="s">
        <v>17</v>
      </c>
      <c r="C141" s="4" t="s">
        <v>30</v>
      </c>
      <c r="D141" s="4" t="s">
        <v>19</v>
      </c>
      <c r="E141" s="4" t="n">
        <v>7888</v>
      </c>
      <c r="F141" s="5" t="n">
        <v>71320.66</v>
      </c>
      <c r="G141" s="19" t="n">
        <v>0.048</v>
      </c>
      <c r="H141" s="4" t="n">
        <v>78.1</v>
      </c>
      <c r="I141" s="4" t="n">
        <v>0</v>
      </c>
      <c r="J141" s="4" t="n">
        <v>0</v>
      </c>
      <c r="K141" s="4" t="n">
        <v>1</v>
      </c>
      <c r="L141" s="5" t="n">
        <v>633638.03</v>
      </c>
      <c r="M141" s="5" t="n">
        <f aca="false">'6. Multiple Regression'!$B$14+'6. Multiple Regression'!$B$15*E141+'6. Multiple Regression'!$B$16*F141+'6. Multiple Regression'!$B$17*G141+'6. Multiple Regression'!$B$18*H141+'6. Multiple Regression'!$B$19*I141+'6. Multiple Regression'!$B$20*J141+'6. Multiple Regression'!$B$21*K141</f>
        <v>700571.541643904</v>
      </c>
      <c r="N141" s="5" t="n">
        <f aca="false">L141-M141</f>
        <v>-66933.5116439039</v>
      </c>
      <c r="O141" s="5" t="n">
        <f aca="false">ABS(N141)</f>
        <v>66933.5116439039</v>
      </c>
      <c r="P141" s="20" t="n">
        <f aca="false">N141/L141</f>
        <v>-0.105633671709862</v>
      </c>
    </row>
    <row r="142" customFormat="false" ht="15" hidden="false" customHeight="false" outlineLevel="0" collapsed="false">
      <c r="A142" s="7" t="s">
        <v>62</v>
      </c>
      <c r="B142" s="7" t="s">
        <v>20</v>
      </c>
      <c r="C142" s="7" t="s">
        <v>30</v>
      </c>
      <c r="D142" s="7" t="s">
        <v>19</v>
      </c>
      <c r="E142" s="7" t="n">
        <v>6244</v>
      </c>
      <c r="F142" s="8" t="n">
        <v>75109.67</v>
      </c>
      <c r="G142" s="21" t="n">
        <v>0.079</v>
      </c>
      <c r="H142" s="7" t="n">
        <v>96.3</v>
      </c>
      <c r="I142" s="7" t="n">
        <v>0</v>
      </c>
      <c r="J142" s="7" t="n">
        <v>0</v>
      </c>
      <c r="K142" s="7" t="n">
        <v>1</v>
      </c>
      <c r="L142" s="8" t="n">
        <v>743348.84</v>
      </c>
      <c r="M142" s="8" t="n">
        <f aca="false">'6. Multiple Regression'!$B$14+'6. Multiple Regression'!$B$15*E142+'6. Multiple Regression'!$B$16*F142+'6. Multiple Regression'!$B$17*G142+'6. Multiple Regression'!$B$18*H142+'6. Multiple Regression'!$B$19*I142+'6. Multiple Regression'!$B$20*J142+'6. Multiple Regression'!$B$21*K142</f>
        <v>702438.541271787</v>
      </c>
      <c r="N142" s="8" t="n">
        <f aca="false">L142-M142</f>
        <v>40910.298728213</v>
      </c>
      <c r="O142" s="8" t="n">
        <f aca="false">ABS(N142)</f>
        <v>40910.298728213</v>
      </c>
      <c r="P142" s="22" t="n">
        <f aca="false">N142/L142</f>
        <v>0.055035128228912</v>
      </c>
    </row>
    <row r="143" customFormat="false" ht="15" hidden="false" customHeight="false" outlineLevel="0" collapsed="false">
      <c r="A143" s="4" t="s">
        <v>62</v>
      </c>
      <c r="B143" s="4" t="s">
        <v>21</v>
      </c>
      <c r="C143" s="4" t="s">
        <v>30</v>
      </c>
      <c r="D143" s="4" t="s">
        <v>19</v>
      </c>
      <c r="E143" s="4" t="n">
        <v>6544</v>
      </c>
      <c r="F143" s="5" t="n">
        <v>69779</v>
      </c>
      <c r="G143" s="19" t="n">
        <v>0.152</v>
      </c>
      <c r="H143" s="4" t="n">
        <v>90.2</v>
      </c>
      <c r="I143" s="4" t="n">
        <v>0</v>
      </c>
      <c r="J143" s="4" t="n">
        <v>0</v>
      </c>
      <c r="K143" s="4" t="n">
        <v>1</v>
      </c>
      <c r="L143" s="5" t="n">
        <v>758827.64</v>
      </c>
      <c r="M143" s="5" t="n">
        <f aca="false">'6. Multiple Regression'!$B$14+'6. Multiple Regression'!$B$15*E143+'6. Multiple Regression'!$B$16*F143+'6. Multiple Regression'!$B$17*G143+'6. Multiple Regression'!$B$18*H143+'6. Multiple Regression'!$B$19*I143+'6. Multiple Regression'!$B$20*J143+'6. Multiple Regression'!$B$21*K143</f>
        <v>683716.491494576</v>
      </c>
      <c r="N143" s="5" t="n">
        <f aca="false">L143-M143</f>
        <v>75111.148505424</v>
      </c>
      <c r="O143" s="5" t="n">
        <f aca="false">ABS(N143)</f>
        <v>75111.148505424</v>
      </c>
      <c r="P143" s="20" t="n">
        <f aca="false">N143/L143</f>
        <v>0.0989831478798322</v>
      </c>
    </row>
    <row r="144" customFormat="false" ht="15" hidden="false" customHeight="false" outlineLevel="0" collapsed="false">
      <c r="A144" s="7" t="s">
        <v>62</v>
      </c>
      <c r="B144" s="7" t="s">
        <v>22</v>
      </c>
      <c r="C144" s="7" t="s">
        <v>30</v>
      </c>
      <c r="D144" s="7" t="s">
        <v>19</v>
      </c>
      <c r="E144" s="7" t="n">
        <v>5465</v>
      </c>
      <c r="F144" s="8" t="n">
        <v>44211.95</v>
      </c>
      <c r="G144" s="21" t="n">
        <v>0.187</v>
      </c>
      <c r="H144" s="7" t="n">
        <v>90</v>
      </c>
      <c r="I144" s="7" t="n">
        <v>0</v>
      </c>
      <c r="J144" s="7" t="n">
        <v>0</v>
      </c>
      <c r="K144" s="7" t="n">
        <v>1</v>
      </c>
      <c r="L144" s="8" t="n">
        <v>646559.71</v>
      </c>
      <c r="M144" s="8" t="n">
        <f aca="false">'6. Multiple Regression'!$B$14+'6. Multiple Regression'!$B$15*E144+'6. Multiple Regression'!$B$16*F144+'6. Multiple Regression'!$B$17*G144+'6. Multiple Regression'!$B$18*H144+'6. Multiple Regression'!$B$19*I144+'6. Multiple Regression'!$B$20*J144+'6. Multiple Regression'!$B$21*K144</f>
        <v>614931.913310131</v>
      </c>
      <c r="N144" s="8" t="n">
        <f aca="false">L144-M144</f>
        <v>31627.796689869</v>
      </c>
      <c r="O144" s="8" t="n">
        <f aca="false">ABS(N144)</f>
        <v>31627.796689869</v>
      </c>
      <c r="P144" s="22" t="n">
        <f aca="false">N144/L144</f>
        <v>0.0489170546829604</v>
      </c>
    </row>
    <row r="145" customFormat="false" ht="15" hidden="false" customHeight="false" outlineLevel="0" collapsed="false">
      <c r="A145" s="4" t="s">
        <v>63</v>
      </c>
      <c r="B145" s="4" t="s">
        <v>17</v>
      </c>
      <c r="C145" s="4" t="s">
        <v>33</v>
      </c>
      <c r="D145" s="4" t="s">
        <v>24</v>
      </c>
      <c r="E145" s="4" t="n">
        <v>6427</v>
      </c>
      <c r="F145" s="5" t="n">
        <v>51430.31</v>
      </c>
      <c r="G145" s="19" t="n">
        <v>0.234</v>
      </c>
      <c r="H145" s="4" t="n">
        <v>88.8</v>
      </c>
      <c r="I145" s="4" t="n">
        <v>0</v>
      </c>
      <c r="J145" s="4" t="n">
        <v>0</v>
      </c>
      <c r="K145" s="4" t="n">
        <v>0</v>
      </c>
      <c r="L145" s="5" t="n">
        <v>715890.53</v>
      </c>
      <c r="M145" s="5" t="n">
        <f aca="false">'6. Multiple Regression'!$B$14+'6. Multiple Regression'!$B$15*E145+'6. Multiple Regression'!$B$16*F145+'6. Multiple Regression'!$B$17*G145+'6. Multiple Regression'!$B$18*H145+'6. Multiple Regression'!$B$19*I145+'6. Multiple Regression'!$B$20*J145+'6. Multiple Regression'!$B$21*K145</f>
        <v>665935.153915572</v>
      </c>
      <c r="N145" s="5" t="n">
        <f aca="false">L145-M145</f>
        <v>49955.3760844281</v>
      </c>
      <c r="O145" s="5" t="n">
        <f aca="false">ABS(N145)</f>
        <v>49955.3760844281</v>
      </c>
      <c r="P145" s="20" t="n">
        <f aca="false">N145/L145</f>
        <v>0.0697807471827125</v>
      </c>
    </row>
    <row r="146" customFormat="false" ht="15" hidden="false" customHeight="false" outlineLevel="0" collapsed="false">
      <c r="A146" s="7" t="s">
        <v>63</v>
      </c>
      <c r="B146" s="7" t="s">
        <v>20</v>
      </c>
      <c r="C146" s="7" t="s">
        <v>33</v>
      </c>
      <c r="D146" s="7" t="s">
        <v>24</v>
      </c>
      <c r="E146" s="7" t="n">
        <v>6704</v>
      </c>
      <c r="F146" s="8" t="n">
        <v>45706.49</v>
      </c>
      <c r="G146" s="21" t="n">
        <v>0.038</v>
      </c>
      <c r="H146" s="7" t="n">
        <v>94.2</v>
      </c>
      <c r="I146" s="7" t="n">
        <v>0</v>
      </c>
      <c r="J146" s="7" t="n">
        <v>0</v>
      </c>
      <c r="K146" s="7" t="n">
        <v>0</v>
      </c>
      <c r="L146" s="8" t="n">
        <v>715097.57</v>
      </c>
      <c r="M146" s="8" t="n">
        <f aca="false">'6. Multiple Regression'!$B$14+'6. Multiple Regression'!$B$15*E146+'6. Multiple Regression'!$B$16*F146+'6. Multiple Regression'!$B$17*G146+'6. Multiple Regression'!$B$18*H146+'6. Multiple Regression'!$B$19*I146+'6. Multiple Regression'!$B$20*J146+'6. Multiple Regression'!$B$21*K146</f>
        <v>696344.056923964</v>
      </c>
      <c r="N146" s="8" t="n">
        <f aca="false">L146-M146</f>
        <v>18753.5130760359</v>
      </c>
      <c r="O146" s="8" t="n">
        <f aca="false">ABS(N146)</f>
        <v>18753.5130760359</v>
      </c>
      <c r="P146" s="22" t="n">
        <f aca="false">N146/L146</f>
        <v>0.026225110897854</v>
      </c>
    </row>
    <row r="147" customFormat="false" ht="15" hidden="false" customHeight="false" outlineLevel="0" collapsed="false">
      <c r="A147" s="4" t="s">
        <v>63</v>
      </c>
      <c r="B147" s="4" t="s">
        <v>21</v>
      </c>
      <c r="C147" s="4" t="s">
        <v>33</v>
      </c>
      <c r="D147" s="4" t="s">
        <v>24</v>
      </c>
      <c r="E147" s="4" t="n">
        <v>5645</v>
      </c>
      <c r="F147" s="5" t="n">
        <v>44034.6</v>
      </c>
      <c r="G147" s="19" t="n">
        <v>0.069</v>
      </c>
      <c r="H147" s="4" t="n">
        <v>88.5</v>
      </c>
      <c r="I147" s="4" t="n">
        <v>0</v>
      </c>
      <c r="J147" s="4" t="n">
        <v>0</v>
      </c>
      <c r="K147" s="4" t="n">
        <v>0</v>
      </c>
      <c r="L147" s="5" t="n">
        <v>682639.28</v>
      </c>
      <c r="M147" s="5" t="n">
        <f aca="false">'6. Multiple Regression'!$B$14+'6. Multiple Regression'!$B$15*E147+'6. Multiple Regression'!$B$16*F147+'6. Multiple Regression'!$B$17*G147+'6. Multiple Regression'!$B$18*H147+'6. Multiple Regression'!$B$19*I147+'6. Multiple Regression'!$B$20*J147+'6. Multiple Regression'!$B$21*K147</f>
        <v>639811.515403647</v>
      </c>
      <c r="N147" s="5" t="n">
        <f aca="false">L147-M147</f>
        <v>42827.7645963531</v>
      </c>
      <c r="O147" s="5" t="n">
        <f aca="false">ABS(N147)</f>
        <v>42827.7645963531</v>
      </c>
      <c r="P147" s="20" t="n">
        <f aca="false">N147/L147</f>
        <v>0.0627385001876145</v>
      </c>
    </row>
    <row r="148" customFormat="false" ht="15" hidden="false" customHeight="false" outlineLevel="0" collapsed="false">
      <c r="A148" s="7" t="s">
        <v>63</v>
      </c>
      <c r="B148" s="7" t="s">
        <v>22</v>
      </c>
      <c r="C148" s="7" t="s">
        <v>33</v>
      </c>
      <c r="D148" s="7" t="s">
        <v>24</v>
      </c>
      <c r="E148" s="7" t="n">
        <v>6089</v>
      </c>
      <c r="F148" s="8" t="n">
        <v>50198.12</v>
      </c>
      <c r="G148" s="21" t="n">
        <v>0.182</v>
      </c>
      <c r="H148" s="7" t="n">
        <v>94</v>
      </c>
      <c r="I148" s="7" t="n">
        <v>0</v>
      </c>
      <c r="J148" s="7" t="n">
        <v>0</v>
      </c>
      <c r="K148" s="7" t="n">
        <v>0</v>
      </c>
      <c r="L148" s="8" t="n">
        <v>695098.51</v>
      </c>
      <c r="M148" s="8" t="n">
        <f aca="false">'6. Multiple Regression'!$B$14+'6. Multiple Regression'!$B$15*E148+'6. Multiple Regression'!$B$16*F148+'6. Multiple Regression'!$B$17*G148+'6. Multiple Regression'!$B$18*H148+'6. Multiple Regression'!$B$19*I148+'6. Multiple Regression'!$B$20*J148+'6. Multiple Regression'!$B$21*K148</f>
        <v>671790.575832626</v>
      </c>
      <c r="N148" s="8" t="n">
        <f aca="false">L148-M148</f>
        <v>23307.9341673739</v>
      </c>
      <c r="O148" s="8" t="n">
        <f aca="false">ABS(N148)</f>
        <v>23307.9341673739</v>
      </c>
      <c r="P148" s="22" t="n">
        <f aca="false">N148/L148</f>
        <v>0.0335318430870668</v>
      </c>
    </row>
    <row r="149" customFormat="false" ht="15" hidden="false" customHeight="false" outlineLevel="0" collapsed="false">
      <c r="A149" s="4" t="s">
        <v>64</v>
      </c>
      <c r="B149" s="4" t="s">
        <v>17</v>
      </c>
      <c r="C149" s="4" t="s">
        <v>26</v>
      </c>
      <c r="D149" s="4" t="s">
        <v>19</v>
      </c>
      <c r="E149" s="4" t="n">
        <v>4312</v>
      </c>
      <c r="F149" s="5" t="n">
        <v>70488.2</v>
      </c>
      <c r="G149" s="19" t="n">
        <v>0.169</v>
      </c>
      <c r="H149" s="4" t="n">
        <v>90.2</v>
      </c>
      <c r="I149" s="4" t="n">
        <v>0</v>
      </c>
      <c r="J149" s="4" t="n">
        <v>0</v>
      </c>
      <c r="K149" s="4" t="n">
        <v>1</v>
      </c>
      <c r="L149" s="5" t="n">
        <v>577732.57</v>
      </c>
      <c r="M149" s="5" t="n">
        <f aca="false">'6. Multiple Regression'!$B$14+'6. Multiple Regression'!$B$15*E149+'6. Multiple Regression'!$B$16*F149+'6. Multiple Regression'!$B$17*G149+'6. Multiple Regression'!$B$18*H149+'6. Multiple Regression'!$B$19*I149+'6. Multiple Regression'!$B$20*J149+'6. Multiple Regression'!$B$21*K149</f>
        <v>608402.453452247</v>
      </c>
      <c r="N149" s="5" t="n">
        <f aca="false">L149-M149</f>
        <v>-30669.883452247</v>
      </c>
      <c r="O149" s="5" t="n">
        <f aca="false">ABS(N149)</f>
        <v>30669.883452247</v>
      </c>
      <c r="P149" s="20" t="n">
        <f aca="false">N149/L149</f>
        <v>-0.053086644314076</v>
      </c>
    </row>
    <row r="150" customFormat="false" ht="15" hidden="false" customHeight="false" outlineLevel="0" collapsed="false">
      <c r="A150" s="7" t="s">
        <v>64</v>
      </c>
      <c r="B150" s="7" t="s">
        <v>20</v>
      </c>
      <c r="C150" s="7" t="s">
        <v>26</v>
      </c>
      <c r="D150" s="7" t="s">
        <v>19</v>
      </c>
      <c r="E150" s="7" t="n">
        <v>3152</v>
      </c>
      <c r="F150" s="8" t="n">
        <v>50909.27</v>
      </c>
      <c r="G150" s="21" t="n">
        <v>0.06</v>
      </c>
      <c r="H150" s="7" t="n">
        <v>93.7</v>
      </c>
      <c r="I150" s="7" t="n">
        <v>0</v>
      </c>
      <c r="J150" s="7" t="n">
        <v>0</v>
      </c>
      <c r="K150" s="7" t="n">
        <v>1</v>
      </c>
      <c r="L150" s="8" t="n">
        <v>537058.33</v>
      </c>
      <c r="M150" s="8" t="n">
        <f aca="false">'6. Multiple Regression'!$B$14+'6. Multiple Regression'!$B$15*E150+'6. Multiple Regression'!$B$16*F150+'6. Multiple Regression'!$B$17*G150+'6. Multiple Regression'!$B$18*H150+'6. Multiple Regression'!$B$19*I150+'6. Multiple Regression'!$B$20*J150+'6. Multiple Regression'!$B$21*K150</f>
        <v>563459.19071339</v>
      </c>
      <c r="N150" s="8" t="n">
        <f aca="false">L150-M150</f>
        <v>-26400.8607133899</v>
      </c>
      <c r="O150" s="8" t="n">
        <f aca="false">ABS(N150)</f>
        <v>26400.8607133899</v>
      </c>
      <c r="P150" s="22" t="n">
        <f aca="false">N150/L150</f>
        <v>-0.0491582743226233</v>
      </c>
    </row>
    <row r="151" customFormat="false" ht="15" hidden="false" customHeight="false" outlineLevel="0" collapsed="false">
      <c r="A151" s="4" t="s">
        <v>64</v>
      </c>
      <c r="B151" s="4" t="s">
        <v>21</v>
      </c>
      <c r="C151" s="4" t="s">
        <v>26</v>
      </c>
      <c r="D151" s="4" t="s">
        <v>19</v>
      </c>
      <c r="E151" s="4" t="n">
        <v>4259</v>
      </c>
      <c r="F151" s="5" t="n">
        <v>53351.7</v>
      </c>
      <c r="G151" s="19" t="n">
        <v>0.156</v>
      </c>
      <c r="H151" s="4" t="n">
        <v>93.7</v>
      </c>
      <c r="I151" s="4" t="n">
        <v>0</v>
      </c>
      <c r="J151" s="4" t="n">
        <v>0</v>
      </c>
      <c r="K151" s="4" t="n">
        <v>1</v>
      </c>
      <c r="L151" s="5" t="n">
        <v>601568.87</v>
      </c>
      <c r="M151" s="5" t="n">
        <f aca="false">'6. Multiple Regression'!$B$14+'6. Multiple Regression'!$B$15*E151+'6. Multiple Regression'!$B$16*F151+'6. Multiple Regression'!$B$17*G151+'6. Multiple Regression'!$B$18*H151+'6. Multiple Regression'!$B$19*I151+'6. Multiple Regression'!$B$20*J151+'6. Multiple Regression'!$B$21*K151</f>
        <v>597915.924650428</v>
      </c>
      <c r="N151" s="5" t="n">
        <f aca="false">L151-M151</f>
        <v>3652.94534957199</v>
      </c>
      <c r="O151" s="5" t="n">
        <f aca="false">ABS(N151)</f>
        <v>3652.94534957199</v>
      </c>
      <c r="P151" s="20" t="n">
        <f aca="false">N151/L151</f>
        <v>0.0060723643322368</v>
      </c>
    </row>
    <row r="152" customFormat="false" ht="15" hidden="false" customHeight="false" outlineLevel="0" collapsed="false">
      <c r="A152" s="7" t="s">
        <v>64</v>
      </c>
      <c r="B152" s="7" t="s">
        <v>22</v>
      </c>
      <c r="C152" s="7" t="s">
        <v>26</v>
      </c>
      <c r="D152" s="7" t="s">
        <v>19</v>
      </c>
      <c r="E152" s="7" t="n">
        <v>3350</v>
      </c>
      <c r="F152" s="8" t="n">
        <v>60322.4</v>
      </c>
      <c r="G152" s="21" t="n">
        <v>0.108</v>
      </c>
      <c r="H152" s="7" t="n">
        <v>89.4</v>
      </c>
      <c r="I152" s="7" t="n">
        <v>0</v>
      </c>
      <c r="J152" s="7" t="n">
        <v>0</v>
      </c>
      <c r="K152" s="7" t="n">
        <v>1</v>
      </c>
      <c r="L152" s="8" t="n">
        <v>570964.84</v>
      </c>
      <c r="M152" s="8" t="n">
        <f aca="false">'6. Multiple Regression'!$B$14+'6. Multiple Regression'!$B$15*E152+'6. Multiple Regression'!$B$16*F152+'6. Multiple Regression'!$B$17*G152+'6. Multiple Regression'!$B$18*H152+'6. Multiple Regression'!$B$19*I152+'6. Multiple Regression'!$B$20*J152+'6. Multiple Regression'!$B$21*K152</f>
        <v>565362.339762004</v>
      </c>
      <c r="N152" s="8" t="n">
        <f aca="false">L152-M152</f>
        <v>5602.50023799599</v>
      </c>
      <c r="O152" s="8" t="n">
        <f aca="false">ABS(N152)</f>
        <v>5602.50023799599</v>
      </c>
      <c r="P152" s="22" t="n">
        <f aca="false">N152/L152</f>
        <v>0.0098123384234938</v>
      </c>
    </row>
    <row r="153" customFormat="false" ht="15" hidden="false" customHeight="false" outlineLevel="0" collapsed="false">
      <c r="A153" s="4" t="s">
        <v>65</v>
      </c>
      <c r="B153" s="4" t="s">
        <v>17</v>
      </c>
      <c r="C153" s="4" t="s">
        <v>30</v>
      </c>
      <c r="D153" s="4" t="s">
        <v>34</v>
      </c>
      <c r="E153" s="4" t="n">
        <v>5329</v>
      </c>
      <c r="F153" s="5" t="n">
        <v>51575.68</v>
      </c>
      <c r="G153" s="19" t="n">
        <v>0.047</v>
      </c>
      <c r="H153" s="4" t="n">
        <v>88.1</v>
      </c>
      <c r="I153" s="4" t="n">
        <v>0</v>
      </c>
      <c r="J153" s="4" t="n">
        <v>1</v>
      </c>
      <c r="K153" s="4" t="n">
        <v>0</v>
      </c>
      <c r="L153" s="5" t="n">
        <v>614024.91</v>
      </c>
      <c r="M153" s="5" t="n">
        <f aca="false">'6. Multiple Regression'!$B$14+'6. Multiple Regression'!$B$15*E153+'6. Multiple Regression'!$B$16*F153+'6. Multiple Regression'!$B$17*G153+'6. Multiple Regression'!$B$18*H153+'6. Multiple Regression'!$B$19*I153+'6. Multiple Regression'!$B$20*J153+'6. Multiple Regression'!$B$21*K153</f>
        <v>649491.882582701</v>
      </c>
      <c r="N153" s="5" t="n">
        <f aca="false">L153-M153</f>
        <v>-35466.972582701</v>
      </c>
      <c r="O153" s="5" t="n">
        <f aca="false">ABS(N153)</f>
        <v>35466.972582701</v>
      </c>
      <c r="P153" s="20" t="n">
        <f aca="false">N153/L153</f>
        <v>-0.0577614556104915</v>
      </c>
    </row>
    <row r="154" customFormat="false" ht="15" hidden="false" customHeight="false" outlineLevel="0" collapsed="false">
      <c r="A154" s="7" t="s">
        <v>65</v>
      </c>
      <c r="B154" s="7" t="s">
        <v>20</v>
      </c>
      <c r="C154" s="7" t="s">
        <v>30</v>
      </c>
      <c r="D154" s="7" t="s">
        <v>34</v>
      </c>
      <c r="E154" s="7" t="n">
        <v>6551</v>
      </c>
      <c r="F154" s="8" t="n">
        <v>43319.94</v>
      </c>
      <c r="G154" s="21" t="n">
        <v>0.044</v>
      </c>
      <c r="H154" s="7" t="n">
        <v>99</v>
      </c>
      <c r="I154" s="7" t="n">
        <v>0</v>
      </c>
      <c r="J154" s="7" t="n">
        <v>1</v>
      </c>
      <c r="K154" s="7" t="n">
        <v>0</v>
      </c>
      <c r="L154" s="8" t="n">
        <v>712868.35</v>
      </c>
      <c r="M154" s="8" t="n">
        <f aca="false">'6. Multiple Regression'!$B$14+'6. Multiple Regression'!$B$15*E154+'6. Multiple Regression'!$B$16*F154+'6. Multiple Regression'!$B$17*G154+'6. Multiple Regression'!$B$18*H154+'6. Multiple Regression'!$B$19*I154+'6. Multiple Regression'!$B$20*J154+'6. Multiple Regression'!$B$21*K154</f>
        <v>713897.573918192</v>
      </c>
      <c r="N154" s="8" t="n">
        <f aca="false">L154-M154</f>
        <v>-1029.22391819197</v>
      </c>
      <c r="O154" s="8" t="n">
        <f aca="false">ABS(N154)</f>
        <v>1029.22391819197</v>
      </c>
      <c r="P154" s="22" t="n">
        <f aca="false">N154/L154</f>
        <v>-0.00144377838936456</v>
      </c>
    </row>
    <row r="155" customFormat="false" ht="15" hidden="false" customHeight="false" outlineLevel="0" collapsed="false">
      <c r="A155" s="4" t="s">
        <v>65</v>
      </c>
      <c r="B155" s="4" t="s">
        <v>21</v>
      </c>
      <c r="C155" s="4" t="s">
        <v>30</v>
      </c>
      <c r="D155" s="4" t="s">
        <v>34</v>
      </c>
      <c r="E155" s="4" t="n">
        <v>5550</v>
      </c>
      <c r="F155" s="5" t="n">
        <v>47093.55</v>
      </c>
      <c r="G155" s="19" t="n">
        <v>0.1</v>
      </c>
      <c r="H155" s="4" t="n">
        <v>95</v>
      </c>
      <c r="I155" s="4" t="n">
        <v>0</v>
      </c>
      <c r="J155" s="4" t="n">
        <v>1</v>
      </c>
      <c r="K155" s="4" t="n">
        <v>0</v>
      </c>
      <c r="L155" s="5" t="n">
        <v>696744.15</v>
      </c>
      <c r="M155" s="5" t="n">
        <f aca="false">'6. Multiple Regression'!$B$14+'6. Multiple Regression'!$B$15*E155+'6. Multiple Regression'!$B$16*F155+'6. Multiple Regression'!$B$17*G155+'6. Multiple Regression'!$B$18*H155+'6. Multiple Regression'!$B$19*I155+'6. Multiple Regression'!$B$20*J155+'6. Multiple Regression'!$B$21*K155</f>
        <v>669293.27254445</v>
      </c>
      <c r="N155" s="5" t="n">
        <f aca="false">L155-M155</f>
        <v>27450.87745555</v>
      </c>
      <c r="O155" s="5" t="n">
        <f aca="false">ABS(N155)</f>
        <v>27450.87745555</v>
      </c>
      <c r="P155" s="20" t="n">
        <f aca="false">N155/L155</f>
        <v>0.0393987914438177</v>
      </c>
    </row>
    <row r="156" customFormat="false" ht="15" hidden="false" customHeight="false" outlineLevel="0" collapsed="false">
      <c r="A156" s="7" t="s">
        <v>65</v>
      </c>
      <c r="B156" s="7" t="s">
        <v>22</v>
      </c>
      <c r="C156" s="7" t="s">
        <v>30</v>
      </c>
      <c r="D156" s="7" t="s">
        <v>34</v>
      </c>
      <c r="E156" s="7" t="n">
        <v>5911</v>
      </c>
      <c r="F156" s="8" t="n">
        <v>71855.09</v>
      </c>
      <c r="G156" s="21" t="n">
        <v>0.197</v>
      </c>
      <c r="H156" s="7" t="n">
        <v>94.3</v>
      </c>
      <c r="I156" s="7" t="n">
        <v>0</v>
      </c>
      <c r="J156" s="7" t="n">
        <v>1</v>
      </c>
      <c r="K156" s="7" t="n">
        <v>0</v>
      </c>
      <c r="L156" s="8" t="n">
        <v>725847.99</v>
      </c>
      <c r="M156" s="8" t="n">
        <f aca="false">'6. Multiple Regression'!$B$14+'6. Multiple Regression'!$B$15*E156+'6. Multiple Regression'!$B$16*F156+'6. Multiple Regression'!$B$17*G156+'6. Multiple Regression'!$B$18*H156+'6. Multiple Regression'!$B$19*I156+'6. Multiple Regression'!$B$20*J156+'6. Multiple Regression'!$B$21*K156</f>
        <v>702489.369022281</v>
      </c>
      <c r="N156" s="8" t="n">
        <f aca="false">L156-M156</f>
        <v>23358.6209777191</v>
      </c>
      <c r="O156" s="8" t="n">
        <f aca="false">ABS(N156)</f>
        <v>23358.6209777191</v>
      </c>
      <c r="P156" s="22" t="n">
        <f aca="false">N156/L156</f>
        <v>0.0321811471541295</v>
      </c>
    </row>
    <row r="157" customFormat="false" ht="15" hidden="false" customHeight="false" outlineLevel="0" collapsed="false">
      <c r="A157" s="4" t="s">
        <v>66</v>
      </c>
      <c r="B157" s="4" t="s">
        <v>17</v>
      </c>
      <c r="C157" s="4" t="s">
        <v>18</v>
      </c>
      <c r="D157" s="4" t="s">
        <v>24</v>
      </c>
      <c r="E157" s="4" t="n">
        <v>9674</v>
      </c>
      <c r="F157" s="5" t="n">
        <v>75645.23</v>
      </c>
      <c r="G157" s="19" t="n">
        <v>0.234</v>
      </c>
      <c r="H157" s="4" t="n">
        <v>87.4</v>
      </c>
      <c r="I157" s="4" t="n">
        <v>0</v>
      </c>
      <c r="J157" s="4" t="n">
        <v>0</v>
      </c>
      <c r="K157" s="4" t="n">
        <v>0</v>
      </c>
      <c r="L157" s="5" t="n">
        <v>785028.25</v>
      </c>
      <c r="M157" s="5" t="n">
        <f aca="false">'6. Multiple Regression'!$B$14+'6. Multiple Regression'!$B$15*E157+'6. Multiple Regression'!$B$16*F157+'6. Multiple Regression'!$B$17*G157+'6. Multiple Regression'!$B$18*H157+'6. Multiple Regression'!$B$19*I157+'6. Multiple Regression'!$B$20*J157+'6. Multiple Regression'!$B$21*K157</f>
        <v>799264.122719132</v>
      </c>
      <c r="N157" s="5" t="n">
        <f aca="false">L157-M157</f>
        <v>-14235.872719132</v>
      </c>
      <c r="O157" s="5" t="n">
        <f aca="false">ABS(N157)</f>
        <v>14235.872719132</v>
      </c>
      <c r="P157" s="20" t="n">
        <f aca="false">N157/L157</f>
        <v>-0.018134217105094</v>
      </c>
    </row>
    <row r="158" customFormat="false" ht="15" hidden="false" customHeight="false" outlineLevel="0" collapsed="false">
      <c r="A158" s="7" t="s">
        <v>66</v>
      </c>
      <c r="B158" s="7" t="s">
        <v>20</v>
      </c>
      <c r="C158" s="7" t="s">
        <v>18</v>
      </c>
      <c r="D158" s="7" t="s">
        <v>24</v>
      </c>
      <c r="E158" s="7" t="n">
        <v>6740</v>
      </c>
      <c r="F158" s="8" t="n">
        <v>64374.75</v>
      </c>
      <c r="G158" s="21" t="n">
        <v>0.169</v>
      </c>
      <c r="H158" s="7" t="n">
        <v>87</v>
      </c>
      <c r="I158" s="7" t="n">
        <v>0</v>
      </c>
      <c r="J158" s="7" t="n">
        <v>0</v>
      </c>
      <c r="K158" s="7" t="n">
        <v>0</v>
      </c>
      <c r="L158" s="8" t="n">
        <v>698492.67</v>
      </c>
      <c r="M158" s="8" t="n">
        <f aca="false">'6. Multiple Regression'!$B$14+'6. Multiple Regression'!$B$15*E158+'6. Multiple Regression'!$B$16*F158+'6. Multiple Regression'!$B$17*G158+'6. Multiple Regression'!$B$18*H158+'6. Multiple Regression'!$B$19*I158+'6. Multiple Regression'!$B$20*J158+'6. Multiple Regression'!$B$21*K158</f>
        <v>689986.467071397</v>
      </c>
      <c r="N158" s="8" t="n">
        <f aca="false">L158-M158</f>
        <v>8506.20292860305</v>
      </c>
      <c r="O158" s="8" t="n">
        <f aca="false">ABS(N158)</f>
        <v>8506.20292860305</v>
      </c>
      <c r="P158" s="22" t="n">
        <f aca="false">N158/L158</f>
        <v>0.0121779415789761</v>
      </c>
    </row>
    <row r="159" customFormat="false" ht="15" hidden="false" customHeight="false" outlineLevel="0" collapsed="false">
      <c r="A159" s="4" t="s">
        <v>66</v>
      </c>
      <c r="B159" s="4" t="s">
        <v>21</v>
      </c>
      <c r="C159" s="4" t="s">
        <v>18</v>
      </c>
      <c r="D159" s="4" t="s">
        <v>24</v>
      </c>
      <c r="E159" s="4" t="n">
        <v>7745</v>
      </c>
      <c r="F159" s="5" t="n">
        <v>61433.84</v>
      </c>
      <c r="G159" s="19" t="n">
        <v>0.18</v>
      </c>
      <c r="H159" s="4" t="n">
        <v>90.5</v>
      </c>
      <c r="I159" s="4" t="n">
        <v>0</v>
      </c>
      <c r="J159" s="4" t="n">
        <v>0</v>
      </c>
      <c r="K159" s="4" t="n">
        <v>0</v>
      </c>
      <c r="L159" s="5" t="n">
        <v>685830.24</v>
      </c>
      <c r="M159" s="5" t="n">
        <f aca="false">'6. Multiple Regression'!$B$14+'6. Multiple Regression'!$B$15*E159+'6. Multiple Regression'!$B$16*F159+'6. Multiple Regression'!$B$17*G159+'6. Multiple Regression'!$B$18*H159+'6. Multiple Regression'!$B$19*I159+'6. Multiple Regression'!$B$20*J159+'6. Multiple Regression'!$B$21*K159</f>
        <v>730247.64016896</v>
      </c>
      <c r="N159" s="5" t="n">
        <f aca="false">L159-M159</f>
        <v>-44417.40016896</v>
      </c>
      <c r="O159" s="5" t="n">
        <f aca="false">ABS(N159)</f>
        <v>44417.40016896</v>
      </c>
      <c r="P159" s="20" t="n">
        <f aca="false">N159/L159</f>
        <v>-0.0647644235823722</v>
      </c>
    </row>
    <row r="160" customFormat="false" ht="15" hidden="false" customHeight="false" outlineLevel="0" collapsed="false">
      <c r="A160" s="7" t="s">
        <v>66</v>
      </c>
      <c r="B160" s="7" t="s">
        <v>22</v>
      </c>
      <c r="C160" s="7" t="s">
        <v>18</v>
      </c>
      <c r="D160" s="7" t="s">
        <v>24</v>
      </c>
      <c r="E160" s="7" t="n">
        <v>7693</v>
      </c>
      <c r="F160" s="8" t="n">
        <v>42698.14</v>
      </c>
      <c r="G160" s="21" t="n">
        <v>0.187</v>
      </c>
      <c r="H160" s="7" t="n">
        <v>90.1</v>
      </c>
      <c r="I160" s="7" t="n">
        <v>0</v>
      </c>
      <c r="J160" s="7" t="n">
        <v>0</v>
      </c>
      <c r="K160" s="7" t="n">
        <v>0</v>
      </c>
      <c r="L160" s="8" t="n">
        <v>702318.94</v>
      </c>
      <c r="M160" s="8" t="n">
        <f aca="false">'6. Multiple Regression'!$B$14+'6. Multiple Regression'!$B$15*E160+'6. Multiple Regression'!$B$16*F160+'6. Multiple Regression'!$B$17*G160+'6. Multiple Regression'!$B$18*H160+'6. Multiple Regression'!$B$19*I160+'6. Multiple Regression'!$B$20*J160+'6. Multiple Regression'!$B$21*K160</f>
        <v>705047.839978301</v>
      </c>
      <c r="N160" s="8" t="n">
        <f aca="false">L160-M160</f>
        <v>-2728.89997830102</v>
      </c>
      <c r="O160" s="8" t="n">
        <f aca="false">ABS(N160)</f>
        <v>2728.89997830102</v>
      </c>
      <c r="P160" s="22" t="n">
        <f aca="false">N160/L160</f>
        <v>-0.00388555657960901</v>
      </c>
    </row>
    <row r="161" customFormat="false" ht="15" hidden="false" customHeight="false" outlineLevel="0" collapsed="false">
      <c r="A161" s="4" t="s">
        <v>67</v>
      </c>
      <c r="B161" s="4" t="s">
        <v>17</v>
      </c>
      <c r="C161" s="4" t="s">
        <v>26</v>
      </c>
      <c r="D161" s="4" t="s">
        <v>34</v>
      </c>
      <c r="E161" s="4" t="n">
        <v>6424</v>
      </c>
      <c r="F161" s="5" t="n">
        <v>86883.31</v>
      </c>
      <c r="G161" s="19" t="n">
        <v>0.057</v>
      </c>
      <c r="H161" s="4" t="n">
        <v>85.2</v>
      </c>
      <c r="I161" s="4" t="n">
        <v>0</v>
      </c>
      <c r="J161" s="4" t="n">
        <v>1</v>
      </c>
      <c r="K161" s="4" t="n">
        <v>0</v>
      </c>
      <c r="L161" s="5" t="n">
        <v>700078.32</v>
      </c>
      <c r="M161" s="5" t="n">
        <f aca="false">'6. Multiple Regression'!$B$14+'6. Multiple Regression'!$B$15*E161+'6. Multiple Regression'!$B$16*F161+'6. Multiple Regression'!$B$17*G161+'6. Multiple Regression'!$B$18*H161+'6. Multiple Regression'!$B$19*I161+'6. Multiple Regression'!$B$20*J161+'6. Multiple Regression'!$B$21*K161</f>
        <v>718212.526055421</v>
      </c>
      <c r="N161" s="5" t="n">
        <f aca="false">L161-M161</f>
        <v>-18134.206055421</v>
      </c>
      <c r="O161" s="5" t="n">
        <f aca="false">ABS(N161)</f>
        <v>18134.206055421</v>
      </c>
      <c r="P161" s="20" t="n">
        <f aca="false">N161/L161</f>
        <v>-0.0259031104625852</v>
      </c>
    </row>
    <row r="162" customFormat="false" ht="15" hidden="false" customHeight="false" outlineLevel="0" collapsed="false">
      <c r="A162" s="7" t="s">
        <v>67</v>
      </c>
      <c r="B162" s="7" t="s">
        <v>20</v>
      </c>
      <c r="C162" s="7" t="s">
        <v>26</v>
      </c>
      <c r="D162" s="7" t="s">
        <v>34</v>
      </c>
      <c r="E162" s="7" t="n">
        <v>5400</v>
      </c>
      <c r="F162" s="8" t="n">
        <v>41863.08</v>
      </c>
      <c r="G162" s="21" t="n">
        <v>0.114</v>
      </c>
      <c r="H162" s="7" t="n">
        <v>91.6</v>
      </c>
      <c r="I162" s="7" t="n">
        <v>0</v>
      </c>
      <c r="J162" s="7" t="n">
        <v>1</v>
      </c>
      <c r="K162" s="7" t="n">
        <v>0</v>
      </c>
      <c r="L162" s="8" t="n">
        <v>602002.32</v>
      </c>
      <c r="M162" s="8" t="n">
        <f aca="false">'6. Multiple Regression'!$B$14+'6. Multiple Regression'!$B$15*E162+'6. Multiple Regression'!$B$16*F162+'6. Multiple Regression'!$B$17*G162+'6. Multiple Regression'!$B$18*H162+'6. Multiple Regression'!$B$19*I162+'6. Multiple Regression'!$B$20*J162+'6. Multiple Regression'!$B$21*K162</f>
        <v>647118.578928622</v>
      </c>
      <c r="N162" s="8" t="n">
        <f aca="false">L162-M162</f>
        <v>-45116.258928622</v>
      </c>
      <c r="O162" s="8" t="n">
        <f aca="false">ABS(N162)</f>
        <v>45116.258928622</v>
      </c>
      <c r="P162" s="22" t="n">
        <f aca="false">N162/L162</f>
        <v>-0.0749436628892427</v>
      </c>
    </row>
    <row r="163" customFormat="false" ht="15" hidden="false" customHeight="false" outlineLevel="0" collapsed="false">
      <c r="A163" s="4" t="s">
        <v>67</v>
      </c>
      <c r="B163" s="4" t="s">
        <v>21</v>
      </c>
      <c r="C163" s="4" t="s">
        <v>26</v>
      </c>
      <c r="D163" s="4" t="s">
        <v>34</v>
      </c>
      <c r="E163" s="4" t="n">
        <v>7015</v>
      </c>
      <c r="F163" s="5" t="n">
        <v>56918.16</v>
      </c>
      <c r="G163" s="19" t="n">
        <v>0.158</v>
      </c>
      <c r="H163" s="4" t="n">
        <v>74.2</v>
      </c>
      <c r="I163" s="4" t="n">
        <v>0</v>
      </c>
      <c r="J163" s="4" t="n">
        <v>1</v>
      </c>
      <c r="K163" s="4" t="n">
        <v>0</v>
      </c>
      <c r="L163" s="5" t="n">
        <v>724216.07</v>
      </c>
      <c r="M163" s="5" t="n">
        <f aca="false">'6. Multiple Regression'!$B$14+'6. Multiple Regression'!$B$15*E163+'6. Multiple Regression'!$B$16*F163+'6. Multiple Regression'!$B$17*G163+'6. Multiple Regression'!$B$18*H163+'6. Multiple Regression'!$B$19*I163+'6. Multiple Regression'!$B$20*J163+'6. Multiple Regression'!$B$21*K163</f>
        <v>664219.862585834</v>
      </c>
      <c r="N163" s="5" t="n">
        <f aca="false">L163-M163</f>
        <v>59996.207414166</v>
      </c>
      <c r="O163" s="5" t="n">
        <f aca="false">ABS(N163)</f>
        <v>59996.207414166</v>
      </c>
      <c r="P163" s="20" t="n">
        <f aca="false">N163/L163</f>
        <v>0.0828429662078141</v>
      </c>
    </row>
    <row r="164" customFormat="false" ht="15" hidden="false" customHeight="false" outlineLevel="0" collapsed="false">
      <c r="A164" s="7" t="s">
        <v>67</v>
      </c>
      <c r="B164" s="7" t="s">
        <v>22</v>
      </c>
      <c r="C164" s="7" t="s">
        <v>26</v>
      </c>
      <c r="D164" s="7" t="s">
        <v>34</v>
      </c>
      <c r="E164" s="7" t="n">
        <v>3847</v>
      </c>
      <c r="F164" s="8" t="n">
        <v>23254.57</v>
      </c>
      <c r="G164" s="21" t="n">
        <v>0.159</v>
      </c>
      <c r="H164" s="7" t="n">
        <v>93</v>
      </c>
      <c r="I164" s="7" t="n">
        <v>0</v>
      </c>
      <c r="J164" s="7" t="n">
        <v>1</v>
      </c>
      <c r="K164" s="7" t="n">
        <v>0</v>
      </c>
      <c r="L164" s="8" t="n">
        <v>620973.03</v>
      </c>
      <c r="M164" s="8" t="n">
        <f aca="false">'6. Multiple Regression'!$B$14+'6. Multiple Regression'!$B$15*E164+'6. Multiple Regression'!$B$16*F164+'6. Multiple Regression'!$B$17*G164+'6. Multiple Regression'!$B$18*H164+'6. Multiple Regression'!$B$19*I164+'6. Multiple Regression'!$B$20*J164+'6. Multiple Regression'!$B$21*K164</f>
        <v>574699.907493027</v>
      </c>
      <c r="N164" s="8" t="n">
        <f aca="false">L164-M164</f>
        <v>46273.1225069731</v>
      </c>
      <c r="O164" s="8" t="n">
        <f aca="false">ABS(N164)</f>
        <v>46273.1225069731</v>
      </c>
      <c r="P164" s="22" t="n">
        <f aca="false">N164/L164</f>
        <v>0.0745171211493245</v>
      </c>
    </row>
    <row r="165" customFormat="false" ht="15" hidden="false" customHeight="false" outlineLevel="0" collapsed="false">
      <c r="A165" s="4" t="s">
        <v>68</v>
      </c>
      <c r="B165" s="4" t="s">
        <v>17</v>
      </c>
      <c r="C165" s="4" t="s">
        <v>30</v>
      </c>
      <c r="D165" s="4" t="s">
        <v>24</v>
      </c>
      <c r="E165" s="4" t="n">
        <v>7455</v>
      </c>
      <c r="F165" s="5" t="n">
        <v>41443.41</v>
      </c>
      <c r="G165" s="19" t="n">
        <v>0.175</v>
      </c>
      <c r="H165" s="4" t="n">
        <v>90.1</v>
      </c>
      <c r="I165" s="4" t="n">
        <v>0</v>
      </c>
      <c r="J165" s="4" t="n">
        <v>0</v>
      </c>
      <c r="K165" s="4" t="n">
        <v>0</v>
      </c>
      <c r="L165" s="5" t="n">
        <v>650480.06</v>
      </c>
      <c r="M165" s="5" t="n">
        <f aca="false">'6. Multiple Regression'!$B$14+'6. Multiple Regression'!$B$15*E165+'6. Multiple Regression'!$B$16*F165+'6. Multiple Regression'!$B$17*G165+'6. Multiple Regression'!$B$18*H165+'6. Multiple Regression'!$B$19*I165+'6. Multiple Regression'!$B$20*J165+'6. Multiple Regression'!$B$21*K165</f>
        <v>696280.382239655</v>
      </c>
      <c r="N165" s="5" t="n">
        <f aca="false">L165-M165</f>
        <v>-45800.322239655</v>
      </c>
      <c r="O165" s="5" t="n">
        <f aca="false">ABS(N165)</f>
        <v>45800.322239655</v>
      </c>
      <c r="P165" s="20" t="n">
        <f aca="false">N165/L165</f>
        <v>-0.0704100326144585</v>
      </c>
    </row>
    <row r="166" customFormat="false" ht="15" hidden="false" customHeight="false" outlineLevel="0" collapsed="false">
      <c r="A166" s="7" t="s">
        <v>68</v>
      </c>
      <c r="B166" s="7" t="s">
        <v>20</v>
      </c>
      <c r="C166" s="7" t="s">
        <v>30</v>
      </c>
      <c r="D166" s="7" t="s">
        <v>24</v>
      </c>
      <c r="E166" s="7" t="n">
        <v>6992</v>
      </c>
      <c r="F166" s="8" t="n">
        <v>48438.85</v>
      </c>
      <c r="G166" s="21" t="n">
        <v>0.034</v>
      </c>
      <c r="H166" s="7" t="n">
        <v>91</v>
      </c>
      <c r="I166" s="7" t="n">
        <v>0</v>
      </c>
      <c r="J166" s="7" t="n">
        <v>0</v>
      </c>
      <c r="K166" s="7" t="n">
        <v>0</v>
      </c>
      <c r="L166" s="8" t="n">
        <v>778298.88</v>
      </c>
      <c r="M166" s="8" t="n">
        <f aca="false">'6. Multiple Regression'!$B$14+'6. Multiple Regression'!$B$15*E166+'6. Multiple Regression'!$B$16*F166+'6. Multiple Regression'!$B$17*G166+'6. Multiple Regression'!$B$18*H166+'6. Multiple Regression'!$B$19*I166+'6. Multiple Regression'!$B$20*J166+'6. Multiple Regression'!$B$21*K166</f>
        <v>699855.808989192</v>
      </c>
      <c r="N166" s="8" t="n">
        <f aca="false">L166-M166</f>
        <v>78443.0710108079</v>
      </c>
      <c r="O166" s="8" t="n">
        <f aca="false">ABS(N166)</f>
        <v>78443.0710108079</v>
      </c>
      <c r="P166" s="22" t="n">
        <f aca="false">N166/L166</f>
        <v>0.100787850306052</v>
      </c>
    </row>
    <row r="167" customFormat="false" ht="15" hidden="false" customHeight="false" outlineLevel="0" collapsed="false">
      <c r="A167" s="4" t="s">
        <v>68</v>
      </c>
      <c r="B167" s="4" t="s">
        <v>21</v>
      </c>
      <c r="C167" s="4" t="s">
        <v>30</v>
      </c>
      <c r="D167" s="4" t="s">
        <v>24</v>
      </c>
      <c r="E167" s="4" t="n">
        <v>8038</v>
      </c>
      <c r="F167" s="5" t="n">
        <v>57143.3</v>
      </c>
      <c r="G167" s="19" t="n">
        <v>0.193</v>
      </c>
      <c r="H167" s="4" t="n">
        <v>72.6</v>
      </c>
      <c r="I167" s="4" t="n">
        <v>0</v>
      </c>
      <c r="J167" s="4" t="n">
        <v>0</v>
      </c>
      <c r="K167" s="4" t="n">
        <v>0</v>
      </c>
      <c r="L167" s="5" t="n">
        <v>677096.71</v>
      </c>
      <c r="M167" s="5" t="n">
        <f aca="false">'6. Multiple Regression'!$B$14+'6. Multiple Regression'!$B$15*E167+'6. Multiple Regression'!$B$16*F167+'6. Multiple Regression'!$B$17*G167+'6. Multiple Regression'!$B$18*H167+'6. Multiple Regression'!$B$19*I167+'6. Multiple Regression'!$B$20*J167+'6. Multiple Regression'!$B$21*K167</f>
        <v>680623.342888059</v>
      </c>
      <c r="N167" s="5" t="n">
        <f aca="false">L167-M167</f>
        <v>-3526.63288805902</v>
      </c>
      <c r="O167" s="5" t="n">
        <f aca="false">ABS(N167)</f>
        <v>3526.63288805902</v>
      </c>
      <c r="P167" s="20" t="n">
        <f aca="false">N167/L167</f>
        <v>-0.00520846259622058</v>
      </c>
    </row>
    <row r="168" customFormat="false" ht="15" hidden="false" customHeight="false" outlineLevel="0" collapsed="false">
      <c r="A168" s="7" t="s">
        <v>68</v>
      </c>
      <c r="B168" s="7" t="s">
        <v>22</v>
      </c>
      <c r="C168" s="7" t="s">
        <v>30</v>
      </c>
      <c r="D168" s="7" t="s">
        <v>24</v>
      </c>
      <c r="E168" s="7" t="n">
        <v>6055</v>
      </c>
      <c r="F168" s="8" t="n">
        <v>66870.62</v>
      </c>
      <c r="G168" s="21" t="n">
        <v>0.075</v>
      </c>
      <c r="H168" s="7" t="n">
        <v>93.8</v>
      </c>
      <c r="I168" s="7" t="n">
        <v>0</v>
      </c>
      <c r="J168" s="7" t="n">
        <v>0</v>
      </c>
      <c r="K168" s="7" t="n">
        <v>0</v>
      </c>
      <c r="L168" s="8" t="n">
        <v>692008.64</v>
      </c>
      <c r="M168" s="8" t="n">
        <f aca="false">'6. Multiple Regression'!$B$14+'6. Multiple Regression'!$B$15*E168+'6. Multiple Regression'!$B$16*F168+'6. Multiple Regression'!$B$17*G168+'6. Multiple Regression'!$B$18*H168+'6. Multiple Regression'!$B$19*I168+'6. Multiple Regression'!$B$20*J168+'6. Multiple Regression'!$B$21*K168</f>
        <v>695781.955306385</v>
      </c>
      <c r="N168" s="8" t="n">
        <f aca="false">L168-M168</f>
        <v>-3773.31530638493</v>
      </c>
      <c r="O168" s="8" t="n">
        <f aca="false">ABS(N168)</f>
        <v>3773.31530638493</v>
      </c>
      <c r="P168" s="22" t="n">
        <f aca="false">N168/L168</f>
        <v>-0.00545269970384319</v>
      </c>
    </row>
    <row r="169" customFormat="false" ht="15" hidden="false" customHeight="false" outlineLevel="0" collapsed="false">
      <c r="A169" s="4" t="s">
        <v>69</v>
      </c>
      <c r="B169" s="4" t="s">
        <v>17</v>
      </c>
      <c r="C169" s="4" t="s">
        <v>26</v>
      </c>
      <c r="D169" s="4" t="s">
        <v>34</v>
      </c>
      <c r="E169" s="4" t="n">
        <v>9323</v>
      </c>
      <c r="F169" s="5" t="n">
        <v>72150.53</v>
      </c>
      <c r="G169" s="19" t="n">
        <v>0.157</v>
      </c>
      <c r="H169" s="4" t="n">
        <v>82.9</v>
      </c>
      <c r="I169" s="4" t="n">
        <v>0</v>
      </c>
      <c r="J169" s="4" t="n">
        <v>1</v>
      </c>
      <c r="K169" s="4" t="n">
        <v>0</v>
      </c>
      <c r="L169" s="5" t="n">
        <v>825797.91</v>
      </c>
      <c r="M169" s="5" t="n">
        <f aca="false">'6. Multiple Regression'!$B$14+'6. Multiple Regression'!$B$15*E169+'6. Multiple Regression'!$B$16*F169+'6. Multiple Regression'!$B$17*G169+'6. Multiple Regression'!$B$18*H169+'6. Multiple Regression'!$B$19*I169+'6. Multiple Regression'!$B$20*J169+'6. Multiple Regression'!$B$21*K169</f>
        <v>785839.853374681</v>
      </c>
      <c r="N169" s="5" t="n">
        <f aca="false">L169-M169</f>
        <v>39958.0566253191</v>
      </c>
      <c r="O169" s="5" t="n">
        <f aca="false">ABS(N169)</f>
        <v>39958.0566253191</v>
      </c>
      <c r="P169" s="20" t="n">
        <f aca="false">N169/L169</f>
        <v>0.0483872096810212</v>
      </c>
    </row>
    <row r="170" customFormat="false" ht="15" hidden="false" customHeight="false" outlineLevel="0" collapsed="false">
      <c r="A170" s="7" t="s">
        <v>69</v>
      </c>
      <c r="B170" s="7" t="s">
        <v>20</v>
      </c>
      <c r="C170" s="7" t="s">
        <v>26</v>
      </c>
      <c r="D170" s="7" t="s">
        <v>34</v>
      </c>
      <c r="E170" s="7" t="n">
        <v>8789</v>
      </c>
      <c r="F170" s="8" t="n">
        <v>35303.3</v>
      </c>
      <c r="G170" s="21" t="n">
        <v>0.123</v>
      </c>
      <c r="H170" s="7" t="n">
        <v>86.1</v>
      </c>
      <c r="I170" s="7" t="n">
        <v>0</v>
      </c>
      <c r="J170" s="7" t="n">
        <v>1</v>
      </c>
      <c r="K170" s="7" t="n">
        <v>0</v>
      </c>
      <c r="L170" s="8" t="n">
        <v>706285.52</v>
      </c>
      <c r="M170" s="8" t="n">
        <f aca="false">'6. Multiple Regression'!$B$14+'6. Multiple Regression'!$B$15*E170+'6. Multiple Regression'!$B$16*F170+'6. Multiple Regression'!$B$17*G170+'6. Multiple Regression'!$B$18*H170+'6. Multiple Regression'!$B$19*I170+'6. Multiple Regression'!$B$20*J170+'6. Multiple Regression'!$B$21*K170</f>
        <v>736525.006162149</v>
      </c>
      <c r="N170" s="8" t="n">
        <f aca="false">L170-M170</f>
        <v>-30239.486162149</v>
      </c>
      <c r="O170" s="8" t="n">
        <f aca="false">ABS(N170)</f>
        <v>30239.486162149</v>
      </c>
      <c r="P170" s="22" t="n">
        <f aca="false">N170/L170</f>
        <v>-0.0428148182368924</v>
      </c>
    </row>
    <row r="171" customFormat="false" ht="15" hidden="false" customHeight="false" outlineLevel="0" collapsed="false">
      <c r="A171" s="4" t="s">
        <v>69</v>
      </c>
      <c r="B171" s="4" t="s">
        <v>21</v>
      </c>
      <c r="C171" s="4" t="s">
        <v>26</v>
      </c>
      <c r="D171" s="4" t="s">
        <v>34</v>
      </c>
      <c r="E171" s="4" t="n">
        <v>6939</v>
      </c>
      <c r="F171" s="5" t="n">
        <v>30301.86</v>
      </c>
      <c r="G171" s="19" t="n">
        <v>0.09</v>
      </c>
      <c r="H171" s="4" t="n">
        <v>90.3</v>
      </c>
      <c r="I171" s="4" t="n">
        <v>0</v>
      </c>
      <c r="J171" s="4" t="n">
        <v>1</v>
      </c>
      <c r="K171" s="4" t="n">
        <v>0</v>
      </c>
      <c r="L171" s="5" t="n">
        <v>665534.7</v>
      </c>
      <c r="M171" s="5" t="n">
        <f aca="false">'6. Multiple Regression'!$B$14+'6. Multiple Regression'!$B$15*E171+'6. Multiple Regression'!$B$16*F171+'6. Multiple Regression'!$B$17*G171+'6. Multiple Regression'!$B$18*H171+'6. Multiple Regression'!$B$19*I171+'6. Multiple Regression'!$B$20*J171+'6. Multiple Regression'!$B$21*K171</f>
        <v>682966.12219215</v>
      </c>
      <c r="N171" s="5" t="n">
        <f aca="false">L171-M171</f>
        <v>-17431.42219215</v>
      </c>
      <c r="O171" s="5" t="n">
        <f aca="false">ABS(N171)</f>
        <v>17431.42219215</v>
      </c>
      <c r="P171" s="20" t="n">
        <f aca="false">N171/L171</f>
        <v>-0.0261916053244858</v>
      </c>
    </row>
    <row r="172" customFormat="false" ht="15" hidden="false" customHeight="false" outlineLevel="0" collapsed="false">
      <c r="A172" s="7" t="s">
        <v>69</v>
      </c>
      <c r="B172" s="7" t="s">
        <v>22</v>
      </c>
      <c r="C172" s="7" t="s">
        <v>26</v>
      </c>
      <c r="D172" s="7" t="s">
        <v>34</v>
      </c>
      <c r="E172" s="7" t="n">
        <v>9440</v>
      </c>
      <c r="F172" s="8" t="n">
        <v>78432.14</v>
      </c>
      <c r="G172" s="21" t="n">
        <v>0.126</v>
      </c>
      <c r="H172" s="7" t="n">
        <v>89.2</v>
      </c>
      <c r="I172" s="7" t="n">
        <v>0</v>
      </c>
      <c r="J172" s="7" t="n">
        <v>1</v>
      </c>
      <c r="K172" s="7" t="n">
        <v>0</v>
      </c>
      <c r="L172" s="8" t="n">
        <v>820729.29</v>
      </c>
      <c r="M172" s="8" t="n">
        <f aca="false">'6. Multiple Regression'!$B$14+'6. Multiple Regression'!$B$15*E172+'6. Multiple Regression'!$B$16*F172+'6. Multiple Regression'!$B$17*G172+'6. Multiple Regression'!$B$18*H172+'6. Multiple Regression'!$B$19*I172+'6. Multiple Regression'!$B$20*J172+'6. Multiple Regression'!$B$21*K172</f>
        <v>817833.839199958</v>
      </c>
      <c r="N172" s="8" t="n">
        <f aca="false">L172-M172</f>
        <v>2895.45080004213</v>
      </c>
      <c r="O172" s="8" t="n">
        <f aca="false">ABS(N172)</f>
        <v>2895.45080004213</v>
      </c>
      <c r="P172" s="22" t="n">
        <f aca="false">N172/L172</f>
        <v>0.00352789992427605</v>
      </c>
    </row>
    <row r="173" customFormat="false" ht="15" hidden="false" customHeight="false" outlineLevel="0" collapsed="false">
      <c r="A173" s="4" t="s">
        <v>70</v>
      </c>
      <c r="B173" s="4" t="s">
        <v>17</v>
      </c>
      <c r="C173" s="4" t="s">
        <v>18</v>
      </c>
      <c r="D173" s="4" t="s">
        <v>19</v>
      </c>
      <c r="E173" s="4" t="n">
        <v>9374</v>
      </c>
      <c r="F173" s="5" t="n">
        <v>62059.18</v>
      </c>
      <c r="G173" s="19" t="n">
        <v>0.136</v>
      </c>
      <c r="H173" s="4" t="n">
        <v>87.1</v>
      </c>
      <c r="I173" s="4" t="n">
        <v>0</v>
      </c>
      <c r="J173" s="4" t="n">
        <v>0</v>
      </c>
      <c r="K173" s="4" t="n">
        <v>1</v>
      </c>
      <c r="L173" s="5" t="n">
        <v>739831.73</v>
      </c>
      <c r="M173" s="5" t="n">
        <f aca="false">'6. Multiple Regression'!$B$14+'6. Multiple Regression'!$B$15*E173+'6. Multiple Regression'!$B$16*F173+'6. Multiple Regression'!$B$17*G173+'6. Multiple Regression'!$B$18*H173+'6. Multiple Regression'!$B$19*I173+'6. Multiple Regression'!$B$20*J173+'6. Multiple Regression'!$B$21*K173</f>
        <v>761628.387698808</v>
      </c>
      <c r="N173" s="5" t="n">
        <f aca="false">L173-M173</f>
        <v>-21796.6576988079</v>
      </c>
      <c r="O173" s="5" t="n">
        <f aca="false">ABS(N173)</f>
        <v>21796.6576988079</v>
      </c>
      <c r="P173" s="20" t="n">
        <f aca="false">N173/L173</f>
        <v>-0.0294616421747792</v>
      </c>
    </row>
    <row r="174" customFormat="false" ht="15" hidden="false" customHeight="false" outlineLevel="0" collapsed="false">
      <c r="A174" s="7" t="s">
        <v>70</v>
      </c>
      <c r="B174" s="7" t="s">
        <v>20</v>
      </c>
      <c r="C174" s="7" t="s">
        <v>18</v>
      </c>
      <c r="D174" s="7" t="s">
        <v>19</v>
      </c>
      <c r="E174" s="7" t="n">
        <v>7576</v>
      </c>
      <c r="F174" s="8" t="n">
        <v>32834.48</v>
      </c>
      <c r="G174" s="21" t="n">
        <v>0.099</v>
      </c>
      <c r="H174" s="7" t="n">
        <v>84.1</v>
      </c>
      <c r="I174" s="7" t="n">
        <v>0</v>
      </c>
      <c r="J174" s="7" t="n">
        <v>0</v>
      </c>
      <c r="K174" s="7" t="n">
        <v>1</v>
      </c>
      <c r="L174" s="8" t="n">
        <v>593637.14</v>
      </c>
      <c r="M174" s="8" t="n">
        <f aca="false">'6. Multiple Regression'!$B$14+'6. Multiple Regression'!$B$15*E174+'6. Multiple Regression'!$B$16*F174+'6. Multiple Regression'!$B$17*G174+'6. Multiple Regression'!$B$18*H174+'6. Multiple Regression'!$B$19*I174+'6. Multiple Regression'!$B$20*J174+'6. Multiple Regression'!$B$21*K174</f>
        <v>660215.086973377</v>
      </c>
      <c r="N174" s="8" t="n">
        <f aca="false">L174-M174</f>
        <v>-66577.9469733769</v>
      </c>
      <c r="O174" s="8" t="n">
        <f aca="false">ABS(N174)</f>
        <v>66577.9469733769</v>
      </c>
      <c r="P174" s="22" t="n">
        <f aca="false">N174/L174</f>
        <v>-0.112152597078709</v>
      </c>
    </row>
    <row r="175" customFormat="false" ht="15" hidden="false" customHeight="false" outlineLevel="0" collapsed="false">
      <c r="A175" s="4" t="s">
        <v>70</v>
      </c>
      <c r="B175" s="4" t="s">
        <v>21</v>
      </c>
      <c r="C175" s="4" t="s">
        <v>18</v>
      </c>
      <c r="D175" s="4" t="s">
        <v>19</v>
      </c>
      <c r="E175" s="4" t="n">
        <v>8949</v>
      </c>
      <c r="F175" s="5" t="n">
        <v>50825.08</v>
      </c>
      <c r="G175" s="19" t="n">
        <v>0.157</v>
      </c>
      <c r="H175" s="4" t="n">
        <v>84.7</v>
      </c>
      <c r="I175" s="4" t="n">
        <v>0</v>
      </c>
      <c r="J175" s="4" t="n">
        <v>0</v>
      </c>
      <c r="K175" s="4" t="n">
        <v>1</v>
      </c>
      <c r="L175" s="5" t="n">
        <v>769702.76</v>
      </c>
      <c r="M175" s="5" t="n">
        <f aca="false">'6. Multiple Regression'!$B$14+'6. Multiple Regression'!$B$15*E175+'6. Multiple Regression'!$B$16*F175+'6. Multiple Regression'!$B$17*G175+'6. Multiple Regression'!$B$18*H175+'6. Multiple Regression'!$B$19*I175+'6. Multiple Regression'!$B$20*J175+'6. Multiple Regression'!$B$21*K175</f>
        <v>725787.544024831</v>
      </c>
      <c r="N175" s="5" t="n">
        <f aca="false">L175-M175</f>
        <v>43915.2159751691</v>
      </c>
      <c r="O175" s="5" t="n">
        <f aca="false">ABS(N175)</f>
        <v>43915.2159751691</v>
      </c>
      <c r="P175" s="20" t="n">
        <f aca="false">N175/L175</f>
        <v>0.0570547726438828</v>
      </c>
    </row>
    <row r="176" customFormat="false" ht="15" hidden="false" customHeight="false" outlineLevel="0" collapsed="false">
      <c r="A176" s="7" t="s">
        <v>70</v>
      </c>
      <c r="B176" s="7" t="s">
        <v>22</v>
      </c>
      <c r="C176" s="7" t="s">
        <v>18</v>
      </c>
      <c r="D176" s="7" t="s">
        <v>19</v>
      </c>
      <c r="E176" s="7" t="n">
        <v>7671</v>
      </c>
      <c r="F176" s="8" t="n">
        <v>36606.51</v>
      </c>
      <c r="G176" s="21" t="n">
        <v>0.118</v>
      </c>
      <c r="H176" s="7" t="n">
        <v>89.8</v>
      </c>
      <c r="I176" s="7" t="n">
        <v>0</v>
      </c>
      <c r="J176" s="7" t="n">
        <v>0</v>
      </c>
      <c r="K176" s="7" t="n">
        <v>1</v>
      </c>
      <c r="L176" s="8" t="n">
        <v>679731.57</v>
      </c>
      <c r="M176" s="8" t="n">
        <f aca="false">'6. Multiple Regression'!$B$14+'6. Multiple Regression'!$B$15*E176+'6. Multiple Regression'!$B$16*F176+'6. Multiple Regression'!$B$17*G176+'6. Multiple Regression'!$B$18*H176+'6. Multiple Regression'!$B$19*I176+'6. Multiple Regression'!$B$20*J176+'6. Multiple Regression'!$B$21*K176</f>
        <v>683796.800195864</v>
      </c>
      <c r="N176" s="8" t="n">
        <f aca="false">L176-M176</f>
        <v>-4065.23019586399</v>
      </c>
      <c r="O176" s="8" t="n">
        <f aca="false">ABS(N176)</f>
        <v>4065.23019586399</v>
      </c>
      <c r="P176" s="22" t="n">
        <f aca="false">N176/L176</f>
        <v>-0.00598064055766012</v>
      </c>
    </row>
    <row r="177" customFormat="false" ht="15" hidden="false" customHeight="false" outlineLevel="0" collapsed="false">
      <c r="A177" s="4" t="s">
        <v>71</v>
      </c>
      <c r="B177" s="4" t="s">
        <v>17</v>
      </c>
      <c r="C177" s="4" t="s">
        <v>18</v>
      </c>
      <c r="D177" s="4" t="s">
        <v>19</v>
      </c>
      <c r="E177" s="4" t="n">
        <v>8741</v>
      </c>
      <c r="F177" s="5" t="n">
        <v>65237.79</v>
      </c>
      <c r="G177" s="19" t="n">
        <v>0.157</v>
      </c>
      <c r="H177" s="4" t="n">
        <v>94.4</v>
      </c>
      <c r="I177" s="4" t="n">
        <v>0</v>
      </c>
      <c r="J177" s="4" t="n">
        <v>0</v>
      </c>
      <c r="K177" s="4" t="n">
        <v>1</v>
      </c>
      <c r="L177" s="5" t="n">
        <v>780344.18</v>
      </c>
      <c r="M177" s="5" t="n">
        <f aca="false">'6. Multiple Regression'!$B$14+'6. Multiple Regression'!$B$15*E177+'6. Multiple Regression'!$B$16*F177+'6. Multiple Regression'!$B$17*G177+'6. Multiple Regression'!$B$18*H177+'6. Multiple Regression'!$B$19*I177+'6. Multiple Regression'!$B$20*J177+'6. Multiple Regression'!$B$21*K177</f>
        <v>764694.858739361</v>
      </c>
      <c r="N177" s="5" t="n">
        <f aca="false">L177-M177</f>
        <v>15649.3212606391</v>
      </c>
      <c r="O177" s="5" t="n">
        <f aca="false">ABS(N177)</f>
        <v>15649.3212606391</v>
      </c>
      <c r="P177" s="20" t="n">
        <f aca="false">N177/L177</f>
        <v>0.0200543832602674</v>
      </c>
    </row>
    <row r="178" customFormat="false" ht="15" hidden="false" customHeight="false" outlineLevel="0" collapsed="false">
      <c r="A178" s="7" t="s">
        <v>71</v>
      </c>
      <c r="B178" s="7" t="s">
        <v>20</v>
      </c>
      <c r="C178" s="7" t="s">
        <v>18</v>
      </c>
      <c r="D178" s="7" t="s">
        <v>19</v>
      </c>
      <c r="E178" s="7" t="n">
        <v>9480</v>
      </c>
      <c r="F178" s="8" t="n">
        <v>43645.98</v>
      </c>
      <c r="G178" s="21" t="n">
        <v>0.109</v>
      </c>
      <c r="H178" s="7" t="n">
        <v>89</v>
      </c>
      <c r="I178" s="7" t="n">
        <v>0</v>
      </c>
      <c r="J178" s="7" t="n">
        <v>0</v>
      </c>
      <c r="K178" s="7" t="n">
        <v>1</v>
      </c>
      <c r="L178" s="8" t="n">
        <v>721364.11</v>
      </c>
      <c r="M178" s="8" t="n">
        <f aca="false">'6. Multiple Regression'!$B$14+'6. Multiple Regression'!$B$15*E178+'6. Multiple Regression'!$B$16*F178+'6. Multiple Regression'!$B$17*G178+'6. Multiple Regression'!$B$18*H178+'6. Multiple Regression'!$B$19*I178+'6. Multiple Regression'!$B$20*J178+'6. Multiple Regression'!$B$21*K178</f>
        <v>751029.492548007</v>
      </c>
      <c r="N178" s="8" t="n">
        <f aca="false">L178-M178</f>
        <v>-29665.382548007</v>
      </c>
      <c r="O178" s="8" t="n">
        <f aca="false">ABS(N178)</f>
        <v>29665.382548007</v>
      </c>
      <c r="P178" s="22" t="n">
        <f aca="false">N178/L178</f>
        <v>-0.0411240067765597</v>
      </c>
    </row>
    <row r="179" customFormat="false" ht="15" hidden="false" customHeight="false" outlineLevel="0" collapsed="false">
      <c r="A179" s="4" t="s">
        <v>71</v>
      </c>
      <c r="B179" s="4" t="s">
        <v>21</v>
      </c>
      <c r="C179" s="4" t="s">
        <v>18</v>
      </c>
      <c r="D179" s="4" t="s">
        <v>19</v>
      </c>
      <c r="E179" s="4" t="n">
        <v>9826</v>
      </c>
      <c r="F179" s="5" t="n">
        <v>68040.15</v>
      </c>
      <c r="G179" s="19" t="n">
        <v>0.125</v>
      </c>
      <c r="H179" s="4" t="n">
        <v>83.9</v>
      </c>
      <c r="I179" s="4" t="n">
        <v>0</v>
      </c>
      <c r="J179" s="4" t="n">
        <v>0</v>
      </c>
      <c r="K179" s="4" t="n">
        <v>1</v>
      </c>
      <c r="L179" s="5" t="n">
        <v>758138.29</v>
      </c>
      <c r="M179" s="5" t="n">
        <f aca="false">'6. Multiple Regression'!$B$14+'6. Multiple Regression'!$B$15*E179+'6. Multiple Regression'!$B$16*F179+'6. Multiple Regression'!$B$17*G179+'6. Multiple Regression'!$B$18*H179+'6. Multiple Regression'!$B$19*I179+'6. Multiple Regression'!$B$20*J179+'6. Multiple Regression'!$B$21*K179</f>
        <v>774859.780047325</v>
      </c>
      <c r="N179" s="5" t="n">
        <f aca="false">L179-M179</f>
        <v>-16721.490047325</v>
      </c>
      <c r="O179" s="5" t="n">
        <f aca="false">ABS(N179)</f>
        <v>16721.490047325</v>
      </c>
      <c r="P179" s="20" t="n">
        <f aca="false">N179/L179</f>
        <v>-0.022055989346383</v>
      </c>
    </row>
    <row r="180" customFormat="false" ht="15" hidden="false" customHeight="false" outlineLevel="0" collapsed="false">
      <c r="A180" s="7" t="s">
        <v>71</v>
      </c>
      <c r="B180" s="7" t="s">
        <v>22</v>
      </c>
      <c r="C180" s="7" t="s">
        <v>18</v>
      </c>
      <c r="D180" s="7" t="s">
        <v>19</v>
      </c>
      <c r="E180" s="7" t="n">
        <v>10402</v>
      </c>
      <c r="F180" s="8" t="n">
        <v>63043.94</v>
      </c>
      <c r="G180" s="21" t="n">
        <v>0.159</v>
      </c>
      <c r="H180" s="7" t="n">
        <v>93.9</v>
      </c>
      <c r="I180" s="7" t="n">
        <v>0</v>
      </c>
      <c r="J180" s="7" t="n">
        <v>0</v>
      </c>
      <c r="K180" s="7" t="n">
        <v>1</v>
      </c>
      <c r="L180" s="8" t="n">
        <v>804264</v>
      </c>
      <c r="M180" s="8" t="n">
        <f aca="false">'6. Multiple Regression'!$B$14+'6. Multiple Regression'!$B$15*E180+'6. Multiple Regression'!$B$16*F180+'6. Multiple Regression'!$B$17*G180+'6. Multiple Regression'!$B$18*H180+'6. Multiple Regression'!$B$19*I180+'6. Multiple Regression'!$B$20*J180+'6. Multiple Regression'!$B$21*K180</f>
        <v>816436.079159937</v>
      </c>
      <c r="N180" s="8" t="n">
        <f aca="false">L180-M180</f>
        <v>-12172.079159937</v>
      </c>
      <c r="O180" s="8" t="n">
        <f aca="false">ABS(N180)</f>
        <v>12172.079159937</v>
      </c>
      <c r="P180" s="22" t="n">
        <f aca="false">N180/L180</f>
        <v>-0.0151344324250955</v>
      </c>
    </row>
    <row r="181" customFormat="false" ht="15" hidden="false" customHeight="false" outlineLevel="0" collapsed="false">
      <c r="A181" s="4" t="s">
        <v>72</v>
      </c>
      <c r="B181" s="4" t="s">
        <v>17</v>
      </c>
      <c r="C181" s="4" t="s">
        <v>33</v>
      </c>
      <c r="D181" s="4" t="s">
        <v>27</v>
      </c>
      <c r="E181" s="4" t="n">
        <v>12361</v>
      </c>
      <c r="F181" s="5" t="n">
        <v>67494.09</v>
      </c>
      <c r="G181" s="19" t="n">
        <v>0.046</v>
      </c>
      <c r="H181" s="4" t="n">
        <v>76.6</v>
      </c>
      <c r="I181" s="4" t="n">
        <v>1</v>
      </c>
      <c r="J181" s="4" t="n">
        <v>0</v>
      </c>
      <c r="K181" s="4" t="n">
        <v>0</v>
      </c>
      <c r="L181" s="5" t="n">
        <v>887537.75</v>
      </c>
      <c r="M181" s="5" t="n">
        <f aca="false">'6. Multiple Regression'!$B$14+'6. Multiple Regression'!$B$15*E181+'6. Multiple Regression'!$B$16*F181+'6. Multiple Regression'!$B$17*G181+'6. Multiple Regression'!$B$18*H181+'6. Multiple Regression'!$B$19*I181+'6. Multiple Regression'!$B$20*J181+'6. Multiple Regression'!$B$21*K181</f>
        <v>880790.194984268</v>
      </c>
      <c r="N181" s="5" t="n">
        <f aca="false">L181-M181</f>
        <v>6747.55501573195</v>
      </c>
      <c r="O181" s="5" t="n">
        <f aca="false">ABS(N181)</f>
        <v>6747.55501573195</v>
      </c>
      <c r="P181" s="20" t="n">
        <f aca="false">N181/L181</f>
        <v>0.00760255551466059</v>
      </c>
    </row>
    <row r="182" customFormat="false" ht="15" hidden="false" customHeight="false" outlineLevel="0" collapsed="false">
      <c r="A182" s="7" t="s">
        <v>72</v>
      </c>
      <c r="B182" s="7" t="s">
        <v>20</v>
      </c>
      <c r="C182" s="7" t="s">
        <v>33</v>
      </c>
      <c r="D182" s="7" t="s">
        <v>27</v>
      </c>
      <c r="E182" s="7" t="n">
        <v>7925</v>
      </c>
      <c r="F182" s="8" t="n">
        <v>29389.32</v>
      </c>
      <c r="G182" s="21" t="n">
        <v>0.177</v>
      </c>
      <c r="H182" s="7" t="n">
        <v>90.9</v>
      </c>
      <c r="I182" s="7" t="n">
        <v>1</v>
      </c>
      <c r="J182" s="7" t="n">
        <v>0</v>
      </c>
      <c r="K182" s="7" t="n">
        <v>0</v>
      </c>
      <c r="L182" s="8" t="n">
        <v>783582</v>
      </c>
      <c r="M182" s="8" t="n">
        <f aca="false">'6. Multiple Regression'!$B$14+'6. Multiple Regression'!$B$15*E182+'6. Multiple Regression'!$B$16*F182+'6. Multiple Regression'!$B$17*G182+'6. Multiple Regression'!$B$18*H182+'6. Multiple Regression'!$B$19*I182+'6. Multiple Regression'!$B$20*J182+'6. Multiple Regression'!$B$21*K182</f>
        <v>722242.524575411</v>
      </c>
      <c r="N182" s="8" t="n">
        <f aca="false">L182-M182</f>
        <v>61339.4754245889</v>
      </c>
      <c r="O182" s="8" t="n">
        <f aca="false">ABS(N182)</f>
        <v>61339.4754245889</v>
      </c>
      <c r="P182" s="22" t="n">
        <f aca="false">N182/L182</f>
        <v>0.0782808632977645</v>
      </c>
    </row>
    <row r="183" customFormat="false" ht="15" hidden="false" customHeight="false" outlineLevel="0" collapsed="false">
      <c r="A183" s="4" t="s">
        <v>72</v>
      </c>
      <c r="B183" s="4" t="s">
        <v>21</v>
      </c>
      <c r="C183" s="4" t="s">
        <v>33</v>
      </c>
      <c r="D183" s="4" t="s">
        <v>27</v>
      </c>
      <c r="E183" s="4" t="n">
        <v>8870</v>
      </c>
      <c r="F183" s="5" t="n">
        <v>40535.09</v>
      </c>
      <c r="G183" s="19" t="n">
        <v>0.041</v>
      </c>
      <c r="H183" s="4" t="n">
        <v>86.6</v>
      </c>
      <c r="I183" s="4" t="n">
        <v>1</v>
      </c>
      <c r="J183" s="4" t="n">
        <v>0</v>
      </c>
      <c r="K183" s="4" t="n">
        <v>0</v>
      </c>
      <c r="L183" s="5" t="n">
        <v>781955.52</v>
      </c>
      <c r="M183" s="5" t="n">
        <f aca="false">'6. Multiple Regression'!$B$14+'6. Multiple Regression'!$B$15*E183+'6. Multiple Regression'!$B$16*F183+'6. Multiple Regression'!$B$17*G183+'6. Multiple Regression'!$B$18*H183+'6. Multiple Regression'!$B$19*I183+'6. Multiple Regression'!$B$20*J183+'6. Multiple Regression'!$B$21*K183</f>
        <v>762153.792426953</v>
      </c>
      <c r="N183" s="5" t="n">
        <f aca="false">L183-M183</f>
        <v>19801.727573047</v>
      </c>
      <c r="O183" s="5" t="n">
        <f aca="false">ABS(N183)</f>
        <v>19801.727573047</v>
      </c>
      <c r="P183" s="20" t="n">
        <f aca="false">N183/L183</f>
        <v>0.0253233426538725</v>
      </c>
    </row>
    <row r="184" customFormat="false" ht="15" hidden="false" customHeight="false" outlineLevel="0" collapsed="false">
      <c r="A184" s="7" t="s">
        <v>72</v>
      </c>
      <c r="B184" s="7" t="s">
        <v>22</v>
      </c>
      <c r="C184" s="7" t="s">
        <v>33</v>
      </c>
      <c r="D184" s="7" t="s">
        <v>27</v>
      </c>
      <c r="E184" s="7" t="n">
        <v>9999</v>
      </c>
      <c r="F184" s="8" t="n">
        <v>74881.56</v>
      </c>
      <c r="G184" s="21" t="n">
        <v>0.013</v>
      </c>
      <c r="H184" s="7" t="n">
        <v>89.6</v>
      </c>
      <c r="I184" s="7" t="n">
        <v>1</v>
      </c>
      <c r="J184" s="7" t="n">
        <v>0</v>
      </c>
      <c r="K184" s="7" t="n">
        <v>0</v>
      </c>
      <c r="L184" s="8" t="n">
        <v>898031.04</v>
      </c>
      <c r="M184" s="8" t="n">
        <f aca="false">'6. Multiple Regression'!$B$14+'6. Multiple Regression'!$B$15*E184+'6. Multiple Regression'!$B$16*F184+'6. Multiple Regression'!$B$17*G184+'6. Multiple Regression'!$B$18*H184+'6. Multiple Regression'!$B$19*I184+'6. Multiple Regression'!$B$20*J184+'6. Multiple Regression'!$B$21*K184</f>
        <v>850844.845740899</v>
      </c>
      <c r="N184" s="8" t="n">
        <f aca="false">L184-M184</f>
        <v>47186.1942591009</v>
      </c>
      <c r="O184" s="8" t="n">
        <f aca="false">ABS(N184)</f>
        <v>47186.1942591009</v>
      </c>
      <c r="P184" s="22" t="n">
        <f aca="false">N184/L184</f>
        <v>0.052544057117559</v>
      </c>
    </row>
    <row r="185" customFormat="false" ht="15" hidden="false" customHeight="false" outlineLevel="0" collapsed="false">
      <c r="A185" s="4" t="s">
        <v>73</v>
      </c>
      <c r="B185" s="4" t="s">
        <v>17</v>
      </c>
      <c r="C185" s="4" t="s">
        <v>33</v>
      </c>
      <c r="D185" s="4" t="s">
        <v>19</v>
      </c>
      <c r="E185" s="4" t="n">
        <v>11154</v>
      </c>
      <c r="F185" s="5" t="n">
        <v>68491.11</v>
      </c>
      <c r="G185" s="19" t="n">
        <v>0.001</v>
      </c>
      <c r="H185" s="4" t="n">
        <v>89.4</v>
      </c>
      <c r="I185" s="4" t="n">
        <v>0</v>
      </c>
      <c r="J185" s="4" t="n">
        <v>0</v>
      </c>
      <c r="K185" s="4" t="n">
        <v>1</v>
      </c>
      <c r="L185" s="5" t="n">
        <v>855341.28</v>
      </c>
      <c r="M185" s="5" t="n">
        <f aca="false">'6. Multiple Regression'!$B$14+'6. Multiple Regression'!$B$15*E185+'6. Multiple Regression'!$B$16*F185+'6. Multiple Regression'!$B$17*G185+'6. Multiple Regression'!$B$18*H185+'6. Multiple Regression'!$B$19*I185+'6. Multiple Regression'!$B$20*J185+'6. Multiple Regression'!$B$21*K185</f>
        <v>843904.457048293</v>
      </c>
      <c r="N185" s="5" t="n">
        <f aca="false">L185-M185</f>
        <v>11436.8229517071</v>
      </c>
      <c r="O185" s="5" t="n">
        <f aca="false">ABS(N185)</f>
        <v>11436.8229517071</v>
      </c>
      <c r="P185" s="20" t="n">
        <f aca="false">N185/L185</f>
        <v>0.013371063947372</v>
      </c>
    </row>
    <row r="186" customFormat="false" ht="15" hidden="false" customHeight="false" outlineLevel="0" collapsed="false">
      <c r="A186" s="7" t="s">
        <v>73</v>
      </c>
      <c r="B186" s="7" t="s">
        <v>20</v>
      </c>
      <c r="C186" s="7" t="s">
        <v>33</v>
      </c>
      <c r="D186" s="7" t="s">
        <v>19</v>
      </c>
      <c r="E186" s="7" t="n">
        <v>9287</v>
      </c>
      <c r="F186" s="8" t="n">
        <v>45209.25</v>
      </c>
      <c r="G186" s="21" t="n">
        <v>0.141</v>
      </c>
      <c r="H186" s="7" t="n">
        <v>86.4</v>
      </c>
      <c r="I186" s="7" t="n">
        <v>0</v>
      </c>
      <c r="J186" s="7" t="n">
        <v>0</v>
      </c>
      <c r="K186" s="7" t="n">
        <v>1</v>
      </c>
      <c r="L186" s="8" t="n">
        <v>751393.88</v>
      </c>
      <c r="M186" s="8" t="n">
        <f aca="false">'6. Multiple Regression'!$B$14+'6. Multiple Regression'!$B$15*E186+'6. Multiple Regression'!$B$16*F186+'6. Multiple Regression'!$B$17*G186+'6. Multiple Regression'!$B$18*H186+'6. Multiple Regression'!$B$19*I186+'6. Multiple Regression'!$B$20*J186+'6. Multiple Regression'!$B$21*K186</f>
        <v>736665.667970133</v>
      </c>
      <c r="N186" s="8" t="n">
        <f aca="false">L186-M186</f>
        <v>14728.2120298671</v>
      </c>
      <c r="O186" s="8" t="n">
        <f aca="false">ABS(N186)</f>
        <v>14728.2120298671</v>
      </c>
      <c r="P186" s="22" t="n">
        <f aca="false">N186/L186</f>
        <v>0.0196011871029175</v>
      </c>
    </row>
    <row r="187" customFormat="false" ht="15" hidden="false" customHeight="false" outlineLevel="0" collapsed="false">
      <c r="A187" s="4" t="s">
        <v>73</v>
      </c>
      <c r="B187" s="4" t="s">
        <v>21</v>
      </c>
      <c r="C187" s="4" t="s">
        <v>33</v>
      </c>
      <c r="D187" s="4" t="s">
        <v>19</v>
      </c>
      <c r="E187" s="4" t="n">
        <v>9812</v>
      </c>
      <c r="F187" s="5" t="n">
        <v>63010.23</v>
      </c>
      <c r="G187" s="19" t="n">
        <v>0.113</v>
      </c>
      <c r="H187" s="4" t="n">
        <v>76.8</v>
      </c>
      <c r="I187" s="4" t="n">
        <v>0</v>
      </c>
      <c r="J187" s="4" t="n">
        <v>0</v>
      </c>
      <c r="K187" s="4" t="n">
        <v>1</v>
      </c>
      <c r="L187" s="5" t="n">
        <v>761077.08</v>
      </c>
      <c r="M187" s="5" t="n">
        <f aca="false">'6. Multiple Regression'!$B$14+'6. Multiple Regression'!$B$15*E187+'6. Multiple Regression'!$B$16*F187+'6. Multiple Regression'!$B$17*G187+'6. Multiple Regression'!$B$18*H187+'6. Multiple Regression'!$B$19*I187+'6. Multiple Regression'!$B$20*J187+'6. Multiple Regression'!$B$21*K187</f>
        <v>747924.702004509</v>
      </c>
      <c r="N187" s="5" t="n">
        <f aca="false">L187-M187</f>
        <v>13152.377995491</v>
      </c>
      <c r="O187" s="5" t="n">
        <f aca="false">ABS(N187)</f>
        <v>13152.377995491</v>
      </c>
      <c r="P187" s="20" t="n">
        <f aca="false">N187/L187</f>
        <v>0.0172812693235894</v>
      </c>
    </row>
    <row r="188" customFormat="false" ht="15" hidden="false" customHeight="false" outlineLevel="0" collapsed="false">
      <c r="A188" s="7" t="s">
        <v>73</v>
      </c>
      <c r="B188" s="7" t="s">
        <v>22</v>
      </c>
      <c r="C188" s="7" t="s">
        <v>33</v>
      </c>
      <c r="D188" s="7" t="s">
        <v>19</v>
      </c>
      <c r="E188" s="7" t="n">
        <v>10741</v>
      </c>
      <c r="F188" s="8" t="n">
        <v>57948.88</v>
      </c>
      <c r="G188" s="21" t="n">
        <v>0.07</v>
      </c>
      <c r="H188" s="7" t="n">
        <v>90.1</v>
      </c>
      <c r="I188" s="7" t="n">
        <v>0</v>
      </c>
      <c r="J188" s="7" t="n">
        <v>0</v>
      </c>
      <c r="K188" s="7" t="n">
        <v>1</v>
      </c>
      <c r="L188" s="8" t="n">
        <v>819660.59</v>
      </c>
      <c r="M188" s="8" t="n">
        <f aca="false">'6. Multiple Regression'!$B$14+'6. Multiple Regression'!$B$15*E188+'6. Multiple Regression'!$B$16*F188+'6. Multiple Regression'!$B$17*G188+'6. Multiple Regression'!$B$18*H188+'6. Multiple Regression'!$B$19*I188+'6. Multiple Regression'!$B$20*J188+'6. Multiple Regression'!$B$21*K188</f>
        <v>815749.46382875</v>
      </c>
      <c r="N188" s="8" t="n">
        <f aca="false">L188-M188</f>
        <v>3911.1261712499</v>
      </c>
      <c r="O188" s="8" t="n">
        <f aca="false">ABS(N188)</f>
        <v>3911.1261712499</v>
      </c>
      <c r="P188" s="22" t="n">
        <f aca="false">N188/L188</f>
        <v>0.0047716411145861</v>
      </c>
    </row>
    <row r="189" customFormat="false" ht="15" hidden="false" customHeight="false" outlineLevel="0" collapsed="false">
      <c r="A189" s="4" t="s">
        <v>74</v>
      </c>
      <c r="B189" s="4" t="s">
        <v>17</v>
      </c>
      <c r="C189" s="4" t="s">
        <v>26</v>
      </c>
      <c r="D189" s="4" t="s">
        <v>24</v>
      </c>
      <c r="E189" s="4" t="n">
        <v>6084</v>
      </c>
      <c r="F189" s="5" t="n">
        <v>71941.62</v>
      </c>
      <c r="G189" s="19" t="n">
        <v>0.072</v>
      </c>
      <c r="H189" s="4" t="n">
        <v>93.7</v>
      </c>
      <c r="I189" s="4" t="n">
        <v>0</v>
      </c>
      <c r="J189" s="4" t="n">
        <v>0</v>
      </c>
      <c r="K189" s="4" t="n">
        <v>0</v>
      </c>
      <c r="L189" s="5" t="n">
        <v>681855.56</v>
      </c>
      <c r="M189" s="5" t="n">
        <f aca="false">'6. Multiple Regression'!$B$14+'6. Multiple Regression'!$B$15*E189+'6. Multiple Regression'!$B$16*F189+'6. Multiple Regression'!$B$17*G189+'6. Multiple Regression'!$B$18*H189+'6. Multiple Regression'!$B$19*I189+'6. Multiple Regression'!$B$20*J189+'6. Multiple Regression'!$B$21*K189</f>
        <v>702545.080904696</v>
      </c>
      <c r="N189" s="5" t="n">
        <f aca="false">L189-M189</f>
        <v>-20689.520904696</v>
      </c>
      <c r="O189" s="5" t="n">
        <f aca="false">ABS(N189)</f>
        <v>20689.520904696</v>
      </c>
      <c r="P189" s="20" t="n">
        <f aca="false">N189/L189</f>
        <v>-0.0303429672183006</v>
      </c>
    </row>
    <row r="190" customFormat="false" ht="15" hidden="false" customHeight="false" outlineLevel="0" collapsed="false">
      <c r="A190" s="7" t="s">
        <v>74</v>
      </c>
      <c r="B190" s="7" t="s">
        <v>20</v>
      </c>
      <c r="C190" s="7" t="s">
        <v>26</v>
      </c>
      <c r="D190" s="7" t="s">
        <v>24</v>
      </c>
      <c r="E190" s="7" t="n">
        <v>5252</v>
      </c>
      <c r="F190" s="8" t="n">
        <v>57147.88</v>
      </c>
      <c r="G190" s="21" t="n">
        <v>0.161</v>
      </c>
      <c r="H190" s="7" t="n">
        <v>95.5</v>
      </c>
      <c r="I190" s="7" t="n">
        <v>0</v>
      </c>
      <c r="J190" s="7" t="n">
        <v>0</v>
      </c>
      <c r="K190" s="7" t="n">
        <v>0</v>
      </c>
      <c r="L190" s="8" t="n">
        <v>678311.17</v>
      </c>
      <c r="M190" s="8" t="n">
        <f aca="false">'6. Multiple Regression'!$B$14+'6. Multiple Regression'!$B$15*E190+'6. Multiple Regression'!$B$16*F190+'6. Multiple Regression'!$B$17*G190+'6. Multiple Regression'!$B$18*H190+'6. Multiple Regression'!$B$19*I190+'6. Multiple Regression'!$B$20*J190+'6. Multiple Regression'!$B$21*K190</f>
        <v>657452.495982483</v>
      </c>
      <c r="N190" s="8" t="n">
        <f aca="false">L190-M190</f>
        <v>20858.674017517</v>
      </c>
      <c r="O190" s="8" t="n">
        <f aca="false">ABS(N190)</f>
        <v>20858.674017517</v>
      </c>
      <c r="P190" s="22" t="n">
        <f aca="false">N190/L190</f>
        <v>0.0307508927171537</v>
      </c>
    </row>
    <row r="191" customFormat="false" ht="15" hidden="false" customHeight="false" outlineLevel="0" collapsed="false">
      <c r="A191" s="4" t="s">
        <v>74</v>
      </c>
      <c r="B191" s="4" t="s">
        <v>21</v>
      </c>
      <c r="C191" s="4" t="s">
        <v>26</v>
      </c>
      <c r="D191" s="4" t="s">
        <v>24</v>
      </c>
      <c r="E191" s="4" t="n">
        <v>6516</v>
      </c>
      <c r="F191" s="5" t="n">
        <v>48031.74</v>
      </c>
      <c r="G191" s="19" t="n">
        <v>0.067</v>
      </c>
      <c r="H191" s="4" t="n">
        <v>99</v>
      </c>
      <c r="I191" s="4" t="n">
        <v>0</v>
      </c>
      <c r="J191" s="4" t="n">
        <v>0</v>
      </c>
      <c r="K191" s="4" t="n">
        <v>0</v>
      </c>
      <c r="L191" s="5" t="n">
        <v>765906.95</v>
      </c>
      <c r="M191" s="5" t="n">
        <f aca="false">'6. Multiple Regression'!$B$14+'6. Multiple Regression'!$B$15*E191+'6. Multiple Regression'!$B$16*F191+'6. Multiple Regression'!$B$17*G191+'6. Multiple Regression'!$B$18*H191+'6. Multiple Regression'!$B$19*I191+'6. Multiple Regression'!$B$20*J191+'6. Multiple Regression'!$B$21*K191</f>
        <v>705422.247365041</v>
      </c>
      <c r="N191" s="5" t="n">
        <f aca="false">L191-M191</f>
        <v>60484.702634959</v>
      </c>
      <c r="O191" s="5" t="n">
        <f aca="false">ABS(N191)</f>
        <v>60484.702634959</v>
      </c>
      <c r="P191" s="20" t="n">
        <f aca="false">N191/L191</f>
        <v>0.0789713458468539</v>
      </c>
    </row>
    <row r="192" customFormat="false" ht="15" hidden="false" customHeight="false" outlineLevel="0" collapsed="false">
      <c r="A192" s="7" t="s">
        <v>74</v>
      </c>
      <c r="B192" s="7" t="s">
        <v>22</v>
      </c>
      <c r="C192" s="7" t="s">
        <v>26</v>
      </c>
      <c r="D192" s="7" t="s">
        <v>24</v>
      </c>
      <c r="E192" s="7" t="n">
        <v>7932</v>
      </c>
      <c r="F192" s="8" t="n">
        <v>72784.8</v>
      </c>
      <c r="G192" s="21" t="n">
        <v>0.094</v>
      </c>
      <c r="H192" s="7" t="n">
        <v>74.9</v>
      </c>
      <c r="I192" s="7" t="n">
        <v>0</v>
      </c>
      <c r="J192" s="7" t="n">
        <v>0</v>
      </c>
      <c r="K192" s="7" t="n">
        <v>0</v>
      </c>
      <c r="L192" s="8" t="n">
        <v>712546.38</v>
      </c>
      <c r="M192" s="8" t="n">
        <f aca="false">'6. Multiple Regression'!$B$14+'6. Multiple Regression'!$B$15*E192+'6. Multiple Regression'!$B$16*F192+'6. Multiple Regression'!$B$17*G192+'6. Multiple Regression'!$B$18*H192+'6. Multiple Regression'!$B$19*I192+'6. Multiple Regression'!$B$20*J192+'6. Multiple Regression'!$B$21*K192</f>
        <v>708020.884725822</v>
      </c>
      <c r="N192" s="8" t="n">
        <f aca="false">L192-M192</f>
        <v>4525.4952741781</v>
      </c>
      <c r="O192" s="8" t="n">
        <f aca="false">ABS(N192)</f>
        <v>4525.4952741781</v>
      </c>
      <c r="P192" s="22" t="n">
        <f aca="false">N192/L192</f>
        <v>0.0063511588876195</v>
      </c>
    </row>
    <row r="193" customFormat="false" ht="15" hidden="false" customHeight="false" outlineLevel="0" collapsed="false">
      <c r="A193" s="4" t="s">
        <v>75</v>
      </c>
      <c r="B193" s="4" t="s">
        <v>17</v>
      </c>
      <c r="C193" s="4" t="s">
        <v>18</v>
      </c>
      <c r="D193" s="4" t="s">
        <v>24</v>
      </c>
      <c r="E193" s="4" t="n">
        <v>3506</v>
      </c>
      <c r="F193" s="5" t="n">
        <v>71641.9</v>
      </c>
      <c r="G193" s="19" t="n">
        <v>0</v>
      </c>
      <c r="H193" s="4" t="n">
        <v>86.4</v>
      </c>
      <c r="I193" s="4" t="n">
        <v>0</v>
      </c>
      <c r="J193" s="4" t="n">
        <v>0</v>
      </c>
      <c r="K193" s="4" t="n">
        <v>0</v>
      </c>
      <c r="L193" s="5" t="n">
        <v>625993.83</v>
      </c>
      <c r="M193" s="5" t="n">
        <f aca="false">'6. Multiple Regression'!$B$14+'6. Multiple Regression'!$B$15*E193+'6. Multiple Regression'!$B$16*F193+'6. Multiple Regression'!$B$17*G193+'6. Multiple Regression'!$B$18*H193+'6. Multiple Regression'!$B$19*I193+'6. Multiple Regression'!$B$20*J193+'6. Multiple Regression'!$B$21*K193</f>
        <v>597742.4927057</v>
      </c>
      <c r="N193" s="5" t="n">
        <f aca="false">L193-M193</f>
        <v>28251.3372943</v>
      </c>
      <c r="O193" s="5" t="n">
        <f aca="false">ABS(N193)</f>
        <v>28251.3372943</v>
      </c>
      <c r="P193" s="20" t="n">
        <f aca="false">N193/L193</f>
        <v>0.0451303765954051</v>
      </c>
    </row>
    <row r="194" customFormat="false" ht="15" hidden="false" customHeight="false" outlineLevel="0" collapsed="false">
      <c r="A194" s="7" t="s">
        <v>75</v>
      </c>
      <c r="B194" s="7" t="s">
        <v>20</v>
      </c>
      <c r="C194" s="7" t="s">
        <v>18</v>
      </c>
      <c r="D194" s="7" t="s">
        <v>24</v>
      </c>
      <c r="E194" s="7" t="n">
        <v>2312</v>
      </c>
      <c r="F194" s="8" t="n">
        <v>55788.61</v>
      </c>
      <c r="G194" s="21" t="n">
        <v>0.058</v>
      </c>
      <c r="H194" s="7" t="n">
        <v>91.3</v>
      </c>
      <c r="I194" s="7" t="n">
        <v>0</v>
      </c>
      <c r="J194" s="7" t="n">
        <v>0</v>
      </c>
      <c r="K194" s="7" t="n">
        <v>0</v>
      </c>
      <c r="L194" s="8" t="n">
        <v>550962.93</v>
      </c>
      <c r="M194" s="8" t="n">
        <f aca="false">'6. Multiple Regression'!$B$14+'6. Multiple Regression'!$B$15*E194+'6. Multiple Regression'!$B$16*F194+'6. Multiple Regression'!$B$17*G194+'6. Multiple Regression'!$B$18*H194+'6. Multiple Regression'!$B$19*I194+'6. Multiple Regression'!$B$20*J194+'6. Multiple Regression'!$B$21*K194</f>
        <v>550358.746765884</v>
      </c>
      <c r="N194" s="8" t="n">
        <f aca="false">L194-M194</f>
        <v>604.183234116063</v>
      </c>
      <c r="O194" s="8" t="n">
        <f aca="false">ABS(N194)</f>
        <v>604.183234116063</v>
      </c>
      <c r="P194" s="22" t="n">
        <f aca="false">N194/L194</f>
        <v>0.00109659507240544</v>
      </c>
    </row>
    <row r="195" customFormat="false" ht="15" hidden="false" customHeight="false" outlineLevel="0" collapsed="false">
      <c r="A195" s="4" t="s">
        <v>75</v>
      </c>
      <c r="B195" s="4" t="s">
        <v>21</v>
      </c>
      <c r="C195" s="4" t="s">
        <v>18</v>
      </c>
      <c r="D195" s="4" t="s">
        <v>24</v>
      </c>
      <c r="E195" s="4" t="n">
        <v>1268</v>
      </c>
      <c r="F195" s="5" t="n">
        <v>37705.88</v>
      </c>
      <c r="G195" s="19" t="n">
        <v>0.259</v>
      </c>
      <c r="H195" s="4" t="n">
        <v>84.1</v>
      </c>
      <c r="I195" s="4" t="n">
        <v>0</v>
      </c>
      <c r="J195" s="4" t="n">
        <v>0</v>
      </c>
      <c r="K195" s="4" t="n">
        <v>0</v>
      </c>
      <c r="L195" s="5" t="n">
        <v>443275.59</v>
      </c>
      <c r="M195" s="5" t="n">
        <f aca="false">'6. Multiple Regression'!$B$14+'6. Multiple Regression'!$B$15*E195+'6. Multiple Regression'!$B$16*F195+'6. Multiple Regression'!$B$17*G195+'6. Multiple Regression'!$B$18*H195+'6. Multiple Regression'!$B$19*I195+'6. Multiple Regression'!$B$20*J195+'6. Multiple Regression'!$B$21*K195</f>
        <v>460686.121439657</v>
      </c>
      <c r="N195" s="5" t="n">
        <f aca="false">L195-M195</f>
        <v>-17410.5314396569</v>
      </c>
      <c r="O195" s="5" t="n">
        <f aca="false">ABS(N195)</f>
        <v>17410.5314396569</v>
      </c>
      <c r="P195" s="20" t="n">
        <f aca="false">N195/L195</f>
        <v>-0.0392769911820701</v>
      </c>
    </row>
    <row r="196" customFormat="false" ht="15" hidden="false" customHeight="false" outlineLevel="0" collapsed="false">
      <c r="A196" s="7" t="s">
        <v>75</v>
      </c>
      <c r="B196" s="7" t="s">
        <v>22</v>
      </c>
      <c r="C196" s="7" t="s">
        <v>18</v>
      </c>
      <c r="D196" s="7" t="s">
        <v>24</v>
      </c>
      <c r="E196" s="7" t="n">
        <v>4423</v>
      </c>
      <c r="F196" s="8" t="n">
        <v>54966.18</v>
      </c>
      <c r="G196" s="21" t="n">
        <v>0.186</v>
      </c>
      <c r="H196" s="7" t="n">
        <v>88.7</v>
      </c>
      <c r="I196" s="7" t="n">
        <v>0</v>
      </c>
      <c r="J196" s="7" t="n">
        <v>0</v>
      </c>
      <c r="K196" s="7" t="n">
        <v>0</v>
      </c>
      <c r="L196" s="8" t="n">
        <v>554012.07</v>
      </c>
      <c r="M196" s="8" t="n">
        <f aca="false">'6. Multiple Regression'!$B$14+'6. Multiple Regression'!$B$15*E196+'6. Multiple Regression'!$B$16*F196+'6. Multiple Regression'!$B$17*G196+'6. Multiple Regression'!$B$18*H196+'6. Multiple Regression'!$B$19*I196+'6. Multiple Regression'!$B$20*J196+'6. Multiple Regression'!$B$21*K196</f>
        <v>605120.797191958</v>
      </c>
      <c r="N196" s="8" t="n">
        <f aca="false">L196-M196</f>
        <v>-51108.727191958</v>
      </c>
      <c r="O196" s="8" t="n">
        <f aca="false">ABS(N196)</f>
        <v>51108.727191958</v>
      </c>
      <c r="P196" s="22" t="n">
        <f aca="false">N196/L196</f>
        <v>-0.0922520103072086</v>
      </c>
    </row>
    <row r="197" customFormat="false" ht="15" hidden="false" customHeight="false" outlineLevel="0" collapsed="false">
      <c r="A197" s="4" t="s">
        <v>76</v>
      </c>
      <c r="B197" s="4" t="s">
        <v>17</v>
      </c>
      <c r="C197" s="4" t="s">
        <v>33</v>
      </c>
      <c r="D197" s="4" t="s">
        <v>19</v>
      </c>
      <c r="E197" s="4" t="n">
        <v>6177</v>
      </c>
      <c r="F197" s="5" t="n">
        <v>81796.74</v>
      </c>
      <c r="G197" s="19" t="n">
        <v>0.164</v>
      </c>
      <c r="H197" s="4" t="n">
        <v>87.9</v>
      </c>
      <c r="I197" s="4" t="n">
        <v>0</v>
      </c>
      <c r="J197" s="4" t="n">
        <v>0</v>
      </c>
      <c r="K197" s="4" t="n">
        <v>1</v>
      </c>
      <c r="L197" s="5" t="n">
        <v>643428.85</v>
      </c>
      <c r="M197" s="5" t="n">
        <f aca="false">'6. Multiple Regression'!$B$14+'6. Multiple Regression'!$B$15*E197+'6. Multiple Regression'!$B$16*F197+'6. Multiple Regression'!$B$17*G197+'6. Multiple Regression'!$B$18*H197+'6. Multiple Regression'!$B$19*I197+'6. Multiple Regression'!$B$20*J197+'6. Multiple Regression'!$B$21*K197</f>
        <v>677758.446900652</v>
      </c>
      <c r="N197" s="5" t="n">
        <f aca="false">L197-M197</f>
        <v>-34329.596900652</v>
      </c>
      <c r="O197" s="5" t="n">
        <f aca="false">ABS(N197)</f>
        <v>34329.596900652</v>
      </c>
      <c r="P197" s="20" t="n">
        <f aca="false">N197/L197</f>
        <v>-0.0533541461509723</v>
      </c>
    </row>
    <row r="198" customFormat="false" ht="15" hidden="false" customHeight="false" outlineLevel="0" collapsed="false">
      <c r="A198" s="7" t="s">
        <v>76</v>
      </c>
      <c r="B198" s="7" t="s">
        <v>20</v>
      </c>
      <c r="C198" s="7" t="s">
        <v>33</v>
      </c>
      <c r="D198" s="7" t="s">
        <v>19</v>
      </c>
      <c r="E198" s="7" t="n">
        <v>5150</v>
      </c>
      <c r="F198" s="8" t="n">
        <v>51133.43</v>
      </c>
      <c r="G198" s="21" t="n">
        <v>0.15</v>
      </c>
      <c r="H198" s="7" t="n">
        <v>88.5</v>
      </c>
      <c r="I198" s="7" t="n">
        <v>0</v>
      </c>
      <c r="J198" s="7" t="n">
        <v>0</v>
      </c>
      <c r="K198" s="7" t="n">
        <v>1</v>
      </c>
      <c r="L198" s="8" t="n">
        <v>611924.27</v>
      </c>
      <c r="M198" s="8" t="n">
        <f aca="false">'6. Multiple Regression'!$B$14+'6. Multiple Regression'!$B$15*E198+'6. Multiple Regression'!$B$16*F198+'6. Multiple Regression'!$B$17*G198+'6. Multiple Regression'!$B$18*H198+'6. Multiple Regression'!$B$19*I198+'6. Multiple Regression'!$B$20*J198+'6. Multiple Regression'!$B$21*K198</f>
        <v>610072.83852394</v>
      </c>
      <c r="N198" s="8" t="n">
        <f aca="false">L198-M198</f>
        <v>1851.43147606007</v>
      </c>
      <c r="O198" s="8" t="n">
        <f aca="false">ABS(N198)</f>
        <v>1851.43147606007</v>
      </c>
      <c r="P198" s="22" t="n">
        <f aca="false">N198/L198</f>
        <v>0.00302558922211088</v>
      </c>
    </row>
    <row r="199" customFormat="false" ht="15" hidden="false" customHeight="false" outlineLevel="0" collapsed="false">
      <c r="A199" s="4" t="s">
        <v>76</v>
      </c>
      <c r="B199" s="4" t="s">
        <v>21</v>
      </c>
      <c r="C199" s="4" t="s">
        <v>33</v>
      </c>
      <c r="D199" s="4" t="s">
        <v>19</v>
      </c>
      <c r="E199" s="4" t="n">
        <v>3783</v>
      </c>
      <c r="F199" s="5" t="n">
        <v>40220.18</v>
      </c>
      <c r="G199" s="19" t="n">
        <v>0.089</v>
      </c>
      <c r="H199" s="4" t="n">
        <v>86.6</v>
      </c>
      <c r="I199" s="4" t="n">
        <v>0</v>
      </c>
      <c r="J199" s="4" t="n">
        <v>0</v>
      </c>
      <c r="K199" s="4" t="n">
        <v>1</v>
      </c>
      <c r="L199" s="5" t="n">
        <v>559422.02</v>
      </c>
      <c r="M199" s="5" t="n">
        <f aca="false">'6. Multiple Regression'!$B$14+'6. Multiple Regression'!$B$15*E199+'6. Multiple Regression'!$B$16*F199+'6. Multiple Regression'!$B$17*G199+'6. Multiple Regression'!$B$18*H199+'6. Multiple Regression'!$B$19*I199+'6. Multiple Regression'!$B$20*J199+'6. Multiple Regression'!$B$21*K199</f>
        <v>549226.177790347</v>
      </c>
      <c r="N199" s="5" t="n">
        <f aca="false">L199-M199</f>
        <v>10195.8422096531</v>
      </c>
      <c r="O199" s="5" t="n">
        <f aca="false">ABS(N199)</f>
        <v>10195.8422096531</v>
      </c>
      <c r="P199" s="20" t="n">
        <f aca="false">N199/L199</f>
        <v>0.0182256719348536</v>
      </c>
    </row>
    <row r="200" customFormat="false" ht="15" hidden="false" customHeight="false" outlineLevel="0" collapsed="false">
      <c r="A200" s="7" t="s">
        <v>76</v>
      </c>
      <c r="B200" s="7" t="s">
        <v>22</v>
      </c>
      <c r="C200" s="7" t="s">
        <v>33</v>
      </c>
      <c r="D200" s="7" t="s">
        <v>19</v>
      </c>
      <c r="E200" s="7" t="n">
        <v>3135</v>
      </c>
      <c r="F200" s="8" t="n">
        <v>41657.64</v>
      </c>
      <c r="G200" s="21" t="n">
        <v>0.229</v>
      </c>
      <c r="H200" s="7" t="n">
        <v>85.4</v>
      </c>
      <c r="I200" s="7" t="n">
        <v>0</v>
      </c>
      <c r="J200" s="7" t="n">
        <v>0</v>
      </c>
      <c r="K200" s="7" t="n">
        <v>1</v>
      </c>
      <c r="L200" s="8" t="n">
        <v>449465.06</v>
      </c>
      <c r="M200" s="8" t="n">
        <f aca="false">'6. Multiple Regression'!$B$14+'6. Multiple Regression'!$B$15*E200+'6. Multiple Regression'!$B$16*F200+'6. Multiple Regression'!$B$17*G200+'6. Multiple Regression'!$B$18*H200+'6. Multiple Regression'!$B$19*I200+'6. Multiple Regression'!$B$20*J200+'6. Multiple Regression'!$B$21*K200</f>
        <v>517236.645100947</v>
      </c>
      <c r="N200" s="8" t="n">
        <f aca="false">L200-M200</f>
        <v>-67771.585100947</v>
      </c>
      <c r="O200" s="8" t="n">
        <f aca="false">ABS(N200)</f>
        <v>67771.585100947</v>
      </c>
      <c r="P200" s="22" t="n">
        <f aca="false">N200/L200</f>
        <v>-0.150782766297667</v>
      </c>
    </row>
    <row r="201" customFormat="false" ht="15" hidden="false" customHeight="false" outlineLevel="0" collapsed="false">
      <c r="A201" s="4" t="s">
        <v>77</v>
      </c>
      <c r="B201" s="4" t="s">
        <v>17</v>
      </c>
      <c r="C201" s="4" t="s">
        <v>26</v>
      </c>
      <c r="D201" s="4" t="s">
        <v>19</v>
      </c>
      <c r="E201" s="4" t="n">
        <v>4970</v>
      </c>
      <c r="F201" s="5" t="n">
        <v>71851.45</v>
      </c>
      <c r="G201" s="19" t="n">
        <v>0.098</v>
      </c>
      <c r="H201" s="4" t="n">
        <v>89.6</v>
      </c>
      <c r="I201" s="4" t="n">
        <v>0</v>
      </c>
      <c r="J201" s="4" t="n">
        <v>0</v>
      </c>
      <c r="K201" s="4" t="n">
        <v>1</v>
      </c>
      <c r="L201" s="5" t="n">
        <v>691447.43</v>
      </c>
      <c r="M201" s="5" t="n">
        <f aca="false">'6. Multiple Regression'!$B$14+'6. Multiple Regression'!$B$15*E201+'6. Multiple Regression'!$B$16*F201+'6. Multiple Regression'!$B$17*G201+'6. Multiple Regression'!$B$18*H201+'6. Multiple Regression'!$B$19*I201+'6. Multiple Regression'!$B$20*J201+'6. Multiple Regression'!$B$21*K201</f>
        <v>634525.150144024</v>
      </c>
      <c r="N201" s="5" t="n">
        <f aca="false">L201-M201</f>
        <v>56922.2798559761</v>
      </c>
      <c r="O201" s="5" t="n">
        <f aca="false">ABS(N201)</f>
        <v>56922.2798559761</v>
      </c>
      <c r="P201" s="20" t="n">
        <f aca="false">N201/L201</f>
        <v>0.08232336600915</v>
      </c>
    </row>
    <row r="202" customFormat="false" ht="15" hidden="false" customHeight="false" outlineLevel="0" collapsed="false">
      <c r="A202" s="7" t="s">
        <v>77</v>
      </c>
      <c r="B202" s="7" t="s">
        <v>20</v>
      </c>
      <c r="C202" s="7" t="s">
        <v>26</v>
      </c>
      <c r="D202" s="7" t="s">
        <v>19</v>
      </c>
      <c r="E202" s="7" t="n">
        <v>4366</v>
      </c>
      <c r="F202" s="8" t="n">
        <v>54002.83</v>
      </c>
      <c r="G202" s="21" t="n">
        <v>0.027</v>
      </c>
      <c r="H202" s="7" t="n">
        <v>90.6</v>
      </c>
      <c r="I202" s="7" t="n">
        <v>0</v>
      </c>
      <c r="J202" s="7" t="n">
        <v>0</v>
      </c>
      <c r="K202" s="7" t="n">
        <v>1</v>
      </c>
      <c r="L202" s="8" t="n">
        <v>574066.61</v>
      </c>
      <c r="M202" s="8" t="n">
        <f aca="false">'6. Multiple Regression'!$B$14+'6. Multiple Regression'!$B$15*E202+'6. Multiple Regression'!$B$16*F202+'6. Multiple Regression'!$B$17*G202+'6. Multiple Regression'!$B$18*H202+'6. Multiple Regression'!$B$19*I202+'6. Multiple Regression'!$B$20*J202+'6. Multiple Regression'!$B$21*K202</f>
        <v>600573.980851891</v>
      </c>
      <c r="N202" s="8" t="n">
        <f aca="false">L202-M202</f>
        <v>-26507.3708518909</v>
      </c>
      <c r="O202" s="8" t="n">
        <f aca="false">ABS(N202)</f>
        <v>26507.3708518909</v>
      </c>
      <c r="P202" s="22" t="n">
        <f aca="false">N202/L202</f>
        <v>-0.0461747302318992</v>
      </c>
    </row>
    <row r="203" customFormat="false" ht="15" hidden="false" customHeight="false" outlineLevel="0" collapsed="false">
      <c r="A203" s="4" t="s">
        <v>77</v>
      </c>
      <c r="B203" s="4" t="s">
        <v>21</v>
      </c>
      <c r="C203" s="4" t="s">
        <v>26</v>
      </c>
      <c r="D203" s="4" t="s">
        <v>19</v>
      </c>
      <c r="E203" s="4" t="n">
        <v>5012</v>
      </c>
      <c r="F203" s="5" t="n">
        <v>54479.33</v>
      </c>
      <c r="G203" s="19" t="n">
        <v>0.284</v>
      </c>
      <c r="H203" s="4" t="n">
        <v>86</v>
      </c>
      <c r="I203" s="4" t="n">
        <v>0</v>
      </c>
      <c r="J203" s="4" t="n">
        <v>0</v>
      </c>
      <c r="K203" s="4" t="n">
        <v>1</v>
      </c>
      <c r="L203" s="5" t="n">
        <v>578949.84</v>
      </c>
      <c r="M203" s="5" t="n">
        <f aca="false">'6. Multiple Regression'!$B$14+'6. Multiple Regression'!$B$15*E203+'6. Multiple Regression'!$B$16*F203+'6. Multiple Regression'!$B$17*G203+'6. Multiple Regression'!$B$18*H203+'6. Multiple Regression'!$B$19*I203+'6. Multiple Regression'!$B$20*J203+'6. Multiple Regression'!$B$21*K203</f>
        <v>593928.396270582</v>
      </c>
      <c r="N203" s="5" t="n">
        <f aca="false">L203-M203</f>
        <v>-14978.556270582</v>
      </c>
      <c r="O203" s="5" t="n">
        <f aca="false">ABS(N203)</f>
        <v>14978.556270582</v>
      </c>
      <c r="P203" s="20" t="n">
        <f aca="false">N203/L203</f>
        <v>-0.0258719412904269</v>
      </c>
    </row>
    <row r="204" customFormat="false" ht="15" hidden="false" customHeight="false" outlineLevel="0" collapsed="false">
      <c r="A204" s="7" t="s">
        <v>77</v>
      </c>
      <c r="B204" s="7" t="s">
        <v>22</v>
      </c>
      <c r="C204" s="7" t="s">
        <v>26</v>
      </c>
      <c r="D204" s="7" t="s">
        <v>19</v>
      </c>
      <c r="E204" s="7" t="n">
        <v>5575</v>
      </c>
      <c r="F204" s="8" t="n">
        <v>61391.8</v>
      </c>
      <c r="G204" s="21" t="n">
        <v>0.189</v>
      </c>
      <c r="H204" s="7" t="n">
        <v>90</v>
      </c>
      <c r="I204" s="7" t="n">
        <v>0</v>
      </c>
      <c r="J204" s="7" t="n">
        <v>0</v>
      </c>
      <c r="K204" s="7" t="n">
        <v>1</v>
      </c>
      <c r="L204" s="8" t="n">
        <v>735786.64</v>
      </c>
      <c r="M204" s="8" t="n">
        <f aca="false">'6. Multiple Regression'!$B$14+'6. Multiple Regression'!$B$15*E204+'6. Multiple Regression'!$B$16*F204+'6. Multiple Regression'!$B$17*G204+'6. Multiple Regression'!$B$18*H204+'6. Multiple Regression'!$B$19*I204+'6. Multiple Regression'!$B$20*J204+'6. Multiple Regression'!$B$21*K204</f>
        <v>638540.151162307</v>
      </c>
      <c r="N204" s="8" t="n">
        <f aca="false">L204-M204</f>
        <v>97246.4888376931</v>
      </c>
      <c r="O204" s="8" t="n">
        <f aca="false">ABS(N204)</f>
        <v>97246.4888376931</v>
      </c>
      <c r="P204" s="22" t="n">
        <f aca="false">N204/L204</f>
        <v>0.132166695548717</v>
      </c>
    </row>
    <row r="205" customFormat="false" ht="15" hidden="false" customHeight="false" outlineLevel="0" collapsed="false">
      <c r="A205" s="4" t="s">
        <v>78</v>
      </c>
      <c r="B205" s="4" t="s">
        <v>17</v>
      </c>
      <c r="C205" s="4" t="s">
        <v>18</v>
      </c>
      <c r="D205" s="4" t="s">
        <v>27</v>
      </c>
      <c r="E205" s="4" t="n">
        <v>5955</v>
      </c>
      <c r="F205" s="5" t="n">
        <v>22312.93</v>
      </c>
      <c r="G205" s="19" t="n">
        <v>0.123</v>
      </c>
      <c r="H205" s="4" t="n">
        <v>84.2</v>
      </c>
      <c r="I205" s="4" t="n">
        <v>1</v>
      </c>
      <c r="J205" s="4" t="n">
        <v>0</v>
      </c>
      <c r="K205" s="4" t="n">
        <v>0</v>
      </c>
      <c r="L205" s="5" t="n">
        <v>598904.9</v>
      </c>
      <c r="M205" s="5" t="n">
        <f aca="false">'6. Multiple Regression'!$B$14+'6. Multiple Regression'!$B$15*E205+'6. Multiple Regression'!$B$16*F205+'6. Multiple Regression'!$B$17*G205+'6. Multiple Regression'!$B$18*H205+'6. Multiple Regression'!$B$19*I205+'6. Multiple Regression'!$B$20*J205+'6. Multiple Regression'!$B$21*K205</f>
        <v>630749.876066239</v>
      </c>
      <c r="N205" s="5" t="n">
        <f aca="false">L205-M205</f>
        <v>-31844.9760662391</v>
      </c>
      <c r="O205" s="5" t="n">
        <f aca="false">ABS(N205)</f>
        <v>31844.9760662391</v>
      </c>
      <c r="P205" s="20" t="n">
        <f aca="false">N205/L205</f>
        <v>-0.0531720078867931</v>
      </c>
    </row>
    <row r="206" customFormat="false" ht="15" hidden="false" customHeight="false" outlineLevel="0" collapsed="false">
      <c r="A206" s="7" t="s">
        <v>78</v>
      </c>
      <c r="B206" s="7" t="s">
        <v>20</v>
      </c>
      <c r="C206" s="7" t="s">
        <v>18</v>
      </c>
      <c r="D206" s="7" t="s">
        <v>27</v>
      </c>
      <c r="E206" s="7" t="n">
        <v>6389</v>
      </c>
      <c r="F206" s="8" t="n">
        <v>78111.97</v>
      </c>
      <c r="G206" s="21" t="n">
        <v>0.15</v>
      </c>
      <c r="H206" s="7" t="n">
        <v>83.9</v>
      </c>
      <c r="I206" s="7" t="n">
        <v>1</v>
      </c>
      <c r="J206" s="7" t="n">
        <v>0</v>
      </c>
      <c r="K206" s="7" t="n">
        <v>0</v>
      </c>
      <c r="L206" s="8" t="n">
        <v>787715.51</v>
      </c>
      <c r="M206" s="8" t="n">
        <f aca="false">'6. Multiple Regression'!$B$14+'6. Multiple Regression'!$B$15*E206+'6. Multiple Regression'!$B$16*F206+'6. Multiple Regression'!$B$17*G206+'6. Multiple Regression'!$B$18*H206+'6. Multiple Regression'!$B$19*I206+'6. Multiple Regression'!$B$20*J206+'6. Multiple Regression'!$B$21*K206</f>
        <v>707902.39786416</v>
      </c>
      <c r="N206" s="8" t="n">
        <f aca="false">L206-M206</f>
        <v>79813.11213584</v>
      </c>
      <c r="O206" s="8" t="n">
        <f aca="false">ABS(N206)</f>
        <v>79813.11213584</v>
      </c>
      <c r="P206" s="22" t="n">
        <f aca="false">N206/L206</f>
        <v>0.101322255462305</v>
      </c>
    </row>
    <row r="207" customFormat="false" ht="15" hidden="false" customHeight="false" outlineLevel="0" collapsed="false">
      <c r="A207" s="4" t="s">
        <v>78</v>
      </c>
      <c r="B207" s="4" t="s">
        <v>21</v>
      </c>
      <c r="C207" s="4" t="s">
        <v>18</v>
      </c>
      <c r="D207" s="4" t="s">
        <v>27</v>
      </c>
      <c r="E207" s="4" t="n">
        <v>6896</v>
      </c>
      <c r="F207" s="5" t="n">
        <v>35203.23</v>
      </c>
      <c r="G207" s="19" t="n">
        <v>0.032</v>
      </c>
      <c r="H207" s="4" t="n">
        <v>80.8</v>
      </c>
      <c r="I207" s="4" t="n">
        <v>1</v>
      </c>
      <c r="J207" s="4" t="n">
        <v>0</v>
      </c>
      <c r="K207" s="4" t="n">
        <v>0</v>
      </c>
      <c r="L207" s="5" t="n">
        <v>607084.92</v>
      </c>
      <c r="M207" s="5" t="n">
        <f aca="false">'6. Multiple Regression'!$B$14+'6. Multiple Regression'!$B$15*E207+'6. Multiple Regression'!$B$16*F207+'6. Multiple Regression'!$B$17*G207+'6. Multiple Regression'!$B$18*H207+'6. Multiple Regression'!$B$19*I207+'6. Multiple Regression'!$B$20*J207+'6. Multiple Regression'!$B$21*K207</f>
        <v>672609.363623406</v>
      </c>
      <c r="N207" s="5" t="n">
        <f aca="false">L207-M207</f>
        <v>-65524.443623406</v>
      </c>
      <c r="O207" s="5" t="n">
        <f aca="false">ABS(N207)</f>
        <v>65524.443623406</v>
      </c>
      <c r="P207" s="20" t="n">
        <f aca="false">N207/L207</f>
        <v>-0.107932912620208</v>
      </c>
    </row>
    <row r="208" customFormat="false" ht="15" hidden="false" customHeight="false" outlineLevel="0" collapsed="false">
      <c r="A208" s="7" t="s">
        <v>78</v>
      </c>
      <c r="B208" s="7" t="s">
        <v>22</v>
      </c>
      <c r="C208" s="7" t="s">
        <v>18</v>
      </c>
      <c r="D208" s="7" t="s">
        <v>27</v>
      </c>
      <c r="E208" s="7" t="n">
        <v>6015</v>
      </c>
      <c r="F208" s="8" t="n">
        <v>64104.28</v>
      </c>
      <c r="G208" s="21" t="n">
        <v>0.127</v>
      </c>
      <c r="H208" s="7" t="n">
        <v>88.7</v>
      </c>
      <c r="I208" s="7" t="n">
        <v>1</v>
      </c>
      <c r="J208" s="7" t="n">
        <v>0</v>
      </c>
      <c r="K208" s="7" t="n">
        <v>0</v>
      </c>
      <c r="L208" s="8" t="n">
        <v>650795.49</v>
      </c>
      <c r="M208" s="8" t="n">
        <f aca="false">'6. Multiple Regression'!$B$14+'6. Multiple Regression'!$B$15*E208+'6. Multiple Regression'!$B$16*F208+'6. Multiple Regression'!$B$17*G208+'6. Multiple Regression'!$B$18*H208+'6. Multiple Regression'!$B$19*I208+'6. Multiple Regression'!$B$20*J208+'6. Multiple Regression'!$B$21*K208</f>
        <v>694746.963696541</v>
      </c>
      <c r="N208" s="8" t="n">
        <f aca="false">L208-M208</f>
        <v>-43951.4736965412</v>
      </c>
      <c r="O208" s="8" t="n">
        <f aca="false">ABS(N208)</f>
        <v>43951.4736965412</v>
      </c>
      <c r="P208" s="22" t="n">
        <f aca="false">N208/L208</f>
        <v>-0.0675350004293072</v>
      </c>
    </row>
    <row r="209" customFormat="false" ht="15" hidden="false" customHeight="false" outlineLevel="0" collapsed="false">
      <c r="A209" s="4" t="s">
        <v>79</v>
      </c>
      <c r="B209" s="4" t="s">
        <v>17</v>
      </c>
      <c r="C209" s="4" t="s">
        <v>18</v>
      </c>
      <c r="D209" s="4" t="s">
        <v>34</v>
      </c>
      <c r="E209" s="4" t="n">
        <v>9476</v>
      </c>
      <c r="F209" s="5" t="n">
        <v>92090.14</v>
      </c>
      <c r="G209" s="19" t="n">
        <v>0.07</v>
      </c>
      <c r="H209" s="4" t="n">
        <v>94.3</v>
      </c>
      <c r="I209" s="4" t="n">
        <v>0</v>
      </c>
      <c r="J209" s="4" t="n">
        <v>1</v>
      </c>
      <c r="K209" s="4" t="n">
        <v>0</v>
      </c>
      <c r="L209" s="5" t="n">
        <v>825060.52</v>
      </c>
      <c r="M209" s="5" t="n">
        <f aca="false">'6. Multiple Regression'!$B$14+'6. Multiple Regression'!$B$15*E209+'6. Multiple Regression'!$B$16*F209+'6. Multiple Regression'!$B$17*G209+'6. Multiple Regression'!$B$18*H209+'6. Multiple Regression'!$B$19*I209+'6. Multiple Regression'!$B$20*J209+'6. Multiple Regression'!$B$21*K209</f>
        <v>853569.72445793</v>
      </c>
      <c r="N209" s="5" t="n">
        <f aca="false">L209-M209</f>
        <v>-28509.2044579299</v>
      </c>
      <c r="O209" s="5" t="n">
        <f aca="false">ABS(N209)</f>
        <v>28509.2044579299</v>
      </c>
      <c r="P209" s="20" t="n">
        <f aca="false">N209/L209</f>
        <v>-0.0345540766608611</v>
      </c>
    </row>
    <row r="210" customFormat="false" ht="15" hidden="false" customHeight="false" outlineLevel="0" collapsed="false">
      <c r="A210" s="7" t="s">
        <v>79</v>
      </c>
      <c r="B210" s="7" t="s">
        <v>20</v>
      </c>
      <c r="C210" s="7" t="s">
        <v>18</v>
      </c>
      <c r="D210" s="7" t="s">
        <v>34</v>
      </c>
      <c r="E210" s="7" t="n">
        <v>7875</v>
      </c>
      <c r="F210" s="8" t="n">
        <v>54300.87</v>
      </c>
      <c r="G210" s="21" t="n">
        <v>0.107</v>
      </c>
      <c r="H210" s="7" t="n">
        <v>94.1</v>
      </c>
      <c r="I210" s="7" t="n">
        <v>0</v>
      </c>
      <c r="J210" s="7" t="n">
        <v>1</v>
      </c>
      <c r="K210" s="7" t="n">
        <v>0</v>
      </c>
      <c r="L210" s="8" t="n">
        <v>795464.47</v>
      </c>
      <c r="M210" s="8" t="n">
        <f aca="false">'6. Multiple Regression'!$B$14+'6. Multiple Regression'!$B$15*E210+'6. Multiple Regression'!$B$16*F210+'6. Multiple Regression'!$B$17*G210+'6. Multiple Regression'!$B$18*H210+'6. Multiple Regression'!$B$19*I210+'6. Multiple Regression'!$B$20*J210+'6. Multiple Regression'!$B$21*K210</f>
        <v>752849.573395151</v>
      </c>
      <c r="N210" s="8" t="n">
        <f aca="false">L210-M210</f>
        <v>42614.896604849</v>
      </c>
      <c r="O210" s="8" t="n">
        <f aca="false">ABS(N210)</f>
        <v>42614.896604849</v>
      </c>
      <c r="P210" s="22" t="n">
        <f aca="false">N210/L210</f>
        <v>0.0535723444754849</v>
      </c>
    </row>
    <row r="211" customFormat="false" ht="15" hidden="false" customHeight="false" outlineLevel="0" collapsed="false">
      <c r="A211" s="4" t="s">
        <v>79</v>
      </c>
      <c r="B211" s="4" t="s">
        <v>21</v>
      </c>
      <c r="C211" s="4" t="s">
        <v>18</v>
      </c>
      <c r="D211" s="4" t="s">
        <v>34</v>
      </c>
      <c r="E211" s="4" t="n">
        <v>9283</v>
      </c>
      <c r="F211" s="5" t="n">
        <v>37983.35</v>
      </c>
      <c r="G211" s="19" t="n">
        <v>0.149</v>
      </c>
      <c r="H211" s="4" t="n">
        <v>83.2</v>
      </c>
      <c r="I211" s="4" t="n">
        <v>0</v>
      </c>
      <c r="J211" s="4" t="n">
        <v>1</v>
      </c>
      <c r="K211" s="4" t="n">
        <v>0</v>
      </c>
      <c r="L211" s="5" t="n">
        <v>671868.59</v>
      </c>
      <c r="M211" s="5" t="n">
        <f aca="false">'6. Multiple Regression'!$B$14+'6. Multiple Regression'!$B$15*E211+'6. Multiple Regression'!$B$16*F211+'6. Multiple Regression'!$B$17*G211+'6. Multiple Regression'!$B$18*H211+'6. Multiple Regression'!$B$19*I211+'6. Multiple Regression'!$B$20*J211+'6. Multiple Regression'!$B$21*K211</f>
        <v>746043.393221937</v>
      </c>
      <c r="N211" s="5" t="n">
        <f aca="false">L211-M211</f>
        <v>-74174.8032219369</v>
      </c>
      <c r="O211" s="5" t="n">
        <f aca="false">ABS(N211)</f>
        <v>74174.8032219369</v>
      </c>
      <c r="P211" s="20" t="n">
        <f aca="false">N211/L211</f>
        <v>-0.110400760395626</v>
      </c>
    </row>
    <row r="212" customFormat="false" ht="15" hidden="false" customHeight="false" outlineLevel="0" collapsed="false">
      <c r="A212" s="7" t="s">
        <v>79</v>
      </c>
      <c r="B212" s="7" t="s">
        <v>22</v>
      </c>
      <c r="C212" s="7" t="s">
        <v>18</v>
      </c>
      <c r="D212" s="7" t="s">
        <v>34</v>
      </c>
      <c r="E212" s="7" t="n">
        <v>8303</v>
      </c>
      <c r="F212" s="8" t="n">
        <v>56413.83</v>
      </c>
      <c r="G212" s="21" t="n">
        <v>0.116</v>
      </c>
      <c r="H212" s="7" t="n">
        <v>93.6</v>
      </c>
      <c r="I212" s="7" t="n">
        <v>0</v>
      </c>
      <c r="J212" s="7" t="n">
        <v>1</v>
      </c>
      <c r="K212" s="7" t="n">
        <v>0</v>
      </c>
      <c r="L212" s="8" t="n">
        <v>675917.63</v>
      </c>
      <c r="M212" s="8" t="n">
        <f aca="false">'6. Multiple Regression'!$B$14+'6. Multiple Regression'!$B$15*E212+'6. Multiple Regression'!$B$16*F212+'6. Multiple Regression'!$B$17*G212+'6. Multiple Regression'!$B$18*H212+'6. Multiple Regression'!$B$19*I212+'6. Multiple Regression'!$B$20*J212+'6. Multiple Regression'!$B$21*K212</f>
        <v>767689.693709498</v>
      </c>
      <c r="N212" s="8" t="n">
        <f aca="false">L212-M212</f>
        <v>-91772.063709498</v>
      </c>
      <c r="O212" s="8" t="n">
        <f aca="false">ABS(N212)</f>
        <v>91772.063709498</v>
      </c>
      <c r="P212" s="22" t="n">
        <f aca="false">N212/L212</f>
        <v>-0.135774034640135</v>
      </c>
    </row>
    <row r="213" customFormat="false" ht="15" hidden="false" customHeight="false" outlineLevel="0" collapsed="false">
      <c r="A213" s="4" t="s">
        <v>80</v>
      </c>
      <c r="B213" s="4" t="s">
        <v>17</v>
      </c>
      <c r="C213" s="4" t="s">
        <v>18</v>
      </c>
      <c r="D213" s="4" t="s">
        <v>24</v>
      </c>
      <c r="E213" s="4" t="n">
        <v>10125</v>
      </c>
      <c r="F213" s="5" t="n">
        <v>63457.19</v>
      </c>
      <c r="G213" s="19" t="n">
        <v>0.097</v>
      </c>
      <c r="H213" s="4" t="n">
        <v>87</v>
      </c>
      <c r="I213" s="4" t="n">
        <v>0</v>
      </c>
      <c r="J213" s="4" t="n">
        <v>0</v>
      </c>
      <c r="K213" s="4" t="n">
        <v>0</v>
      </c>
      <c r="L213" s="5" t="n">
        <v>810446.53</v>
      </c>
      <c r="M213" s="5" t="n">
        <f aca="false">'6. Multiple Regression'!$B$14+'6. Multiple Regression'!$B$15*E213+'6. Multiple Regression'!$B$16*F213+'6. Multiple Regression'!$B$17*G213+'6. Multiple Regression'!$B$18*H213+'6. Multiple Regression'!$B$19*I213+'6. Multiple Regression'!$B$20*J213+'6. Multiple Regression'!$B$21*K213</f>
        <v>807113.366338781</v>
      </c>
      <c r="N213" s="5" t="n">
        <f aca="false">L213-M213</f>
        <v>3333.16366121895</v>
      </c>
      <c r="O213" s="5" t="n">
        <f aca="false">ABS(N213)</f>
        <v>3333.16366121895</v>
      </c>
      <c r="P213" s="20" t="n">
        <f aca="false">N213/L213</f>
        <v>0.00411274962361668</v>
      </c>
    </row>
    <row r="214" customFormat="false" ht="15" hidden="false" customHeight="false" outlineLevel="0" collapsed="false">
      <c r="A214" s="7" t="s">
        <v>80</v>
      </c>
      <c r="B214" s="7" t="s">
        <v>20</v>
      </c>
      <c r="C214" s="7" t="s">
        <v>18</v>
      </c>
      <c r="D214" s="7" t="s">
        <v>24</v>
      </c>
      <c r="E214" s="7" t="n">
        <v>9458</v>
      </c>
      <c r="F214" s="8" t="n">
        <v>62949.7</v>
      </c>
      <c r="G214" s="21" t="n">
        <v>0.171</v>
      </c>
      <c r="H214" s="7" t="n">
        <v>84.9</v>
      </c>
      <c r="I214" s="7" t="n">
        <v>0</v>
      </c>
      <c r="J214" s="7" t="n">
        <v>0</v>
      </c>
      <c r="K214" s="7" t="n">
        <v>0</v>
      </c>
      <c r="L214" s="8" t="n">
        <v>691288.19</v>
      </c>
      <c r="M214" s="8" t="n">
        <f aca="false">'6. Multiple Regression'!$B$14+'6. Multiple Regression'!$B$15*E214+'6. Multiple Regression'!$B$16*F214+'6. Multiple Regression'!$B$17*G214+'6. Multiple Regression'!$B$18*H214+'6. Multiple Regression'!$B$19*I214+'6. Multiple Regression'!$B$20*J214+'6. Multiple Regression'!$B$21*K214</f>
        <v>773405.081467373</v>
      </c>
      <c r="N214" s="8" t="n">
        <f aca="false">L214-M214</f>
        <v>-82116.8914673731</v>
      </c>
      <c r="O214" s="8" t="n">
        <f aca="false">ABS(N214)</f>
        <v>82116.8914673731</v>
      </c>
      <c r="P214" s="22" t="n">
        <f aca="false">N214/L214</f>
        <v>-0.118788216919159</v>
      </c>
    </row>
    <row r="215" customFormat="false" ht="15" hidden="false" customHeight="false" outlineLevel="0" collapsed="false">
      <c r="A215" s="4" t="s">
        <v>80</v>
      </c>
      <c r="B215" s="4" t="s">
        <v>21</v>
      </c>
      <c r="C215" s="4" t="s">
        <v>18</v>
      </c>
      <c r="D215" s="4" t="s">
        <v>24</v>
      </c>
      <c r="E215" s="4" t="n">
        <v>12870</v>
      </c>
      <c r="F215" s="5" t="n">
        <v>107970.19</v>
      </c>
      <c r="G215" s="19" t="n">
        <v>0.029</v>
      </c>
      <c r="H215" s="4" t="n">
        <v>91.7</v>
      </c>
      <c r="I215" s="4" t="n">
        <v>0</v>
      </c>
      <c r="J215" s="4" t="n">
        <v>0</v>
      </c>
      <c r="K215" s="4" t="n">
        <v>0</v>
      </c>
      <c r="L215" s="5" t="n">
        <v>946833.54</v>
      </c>
      <c r="M215" s="5" t="n">
        <f aca="false">'6. Multiple Regression'!$B$14+'6. Multiple Regression'!$B$15*E215+'6. Multiple Regression'!$B$16*F215+'6. Multiple Regression'!$B$17*G215+'6. Multiple Regression'!$B$18*H215+'6. Multiple Regression'!$B$19*I215+'6. Multiple Regression'!$B$20*J215+'6. Multiple Regression'!$B$21*K215</f>
        <v>969513.982657997</v>
      </c>
      <c r="N215" s="5" t="n">
        <f aca="false">L215-M215</f>
        <v>-22680.4426579969</v>
      </c>
      <c r="O215" s="5" t="n">
        <f aca="false">ABS(N215)</f>
        <v>22680.4426579969</v>
      </c>
      <c r="P215" s="20" t="n">
        <f aca="false">N215/L215</f>
        <v>-0.0239539915939151</v>
      </c>
    </row>
    <row r="216" customFormat="false" ht="15" hidden="false" customHeight="false" outlineLevel="0" collapsed="false">
      <c r="A216" s="7" t="s">
        <v>80</v>
      </c>
      <c r="B216" s="7" t="s">
        <v>22</v>
      </c>
      <c r="C216" s="7" t="s">
        <v>18</v>
      </c>
      <c r="D216" s="7" t="s">
        <v>24</v>
      </c>
      <c r="E216" s="7" t="n">
        <v>9752</v>
      </c>
      <c r="F216" s="8" t="n">
        <v>49405.75</v>
      </c>
      <c r="G216" s="21" t="n">
        <v>0.093</v>
      </c>
      <c r="H216" s="7" t="n">
        <v>87</v>
      </c>
      <c r="I216" s="7" t="n">
        <v>0</v>
      </c>
      <c r="J216" s="7" t="n">
        <v>0</v>
      </c>
      <c r="K216" s="7" t="n">
        <v>0</v>
      </c>
      <c r="L216" s="8" t="n">
        <v>761963.23</v>
      </c>
      <c r="M216" s="8" t="n">
        <f aca="false">'6. Multiple Regression'!$B$14+'6. Multiple Regression'!$B$15*E216+'6. Multiple Regression'!$B$16*F216+'6. Multiple Regression'!$B$17*G216+'6. Multiple Regression'!$B$18*H216+'6. Multiple Regression'!$B$19*I216+'6. Multiple Regression'!$B$20*J216+'6. Multiple Regression'!$B$21*K216</f>
        <v>778415.371541609</v>
      </c>
      <c r="N216" s="8" t="n">
        <f aca="false">L216-M216</f>
        <v>-16452.1415416091</v>
      </c>
      <c r="O216" s="8" t="n">
        <f aca="false">ABS(N216)</f>
        <v>16452.1415416091</v>
      </c>
      <c r="P216" s="22" t="n">
        <f aca="false">N216/L216</f>
        <v>-0.0215917788337491</v>
      </c>
    </row>
    <row r="217" customFormat="false" ht="15" hidden="false" customHeight="false" outlineLevel="0" collapsed="false">
      <c r="A217" s="4" t="s">
        <v>81</v>
      </c>
      <c r="B217" s="4" t="s">
        <v>17</v>
      </c>
      <c r="C217" s="4" t="s">
        <v>33</v>
      </c>
      <c r="D217" s="4" t="s">
        <v>19</v>
      </c>
      <c r="E217" s="4" t="n">
        <v>9505</v>
      </c>
      <c r="F217" s="5" t="n">
        <v>50887.46</v>
      </c>
      <c r="G217" s="19" t="n">
        <v>0.091</v>
      </c>
      <c r="H217" s="4" t="n">
        <v>89.7</v>
      </c>
      <c r="I217" s="4" t="n">
        <v>0</v>
      </c>
      <c r="J217" s="4" t="n">
        <v>0</v>
      </c>
      <c r="K217" s="4" t="n">
        <v>1</v>
      </c>
      <c r="L217" s="5" t="n">
        <v>812152.6</v>
      </c>
      <c r="M217" s="5" t="n">
        <f aca="false">'6. Multiple Regression'!$B$14+'6. Multiple Regression'!$B$15*E217+'6. Multiple Regression'!$B$16*F217+'6. Multiple Regression'!$B$17*G217+'6. Multiple Regression'!$B$18*H217+'6. Multiple Regression'!$B$19*I217+'6. Multiple Regression'!$B$20*J217+'6. Multiple Regression'!$B$21*K217</f>
        <v>763472.408441013</v>
      </c>
      <c r="N217" s="5" t="n">
        <f aca="false">L217-M217</f>
        <v>48680.191558987</v>
      </c>
      <c r="O217" s="5" t="n">
        <f aca="false">ABS(N217)</f>
        <v>48680.191558987</v>
      </c>
      <c r="P217" s="20" t="n">
        <f aca="false">N217/L217</f>
        <v>0.0599397102945764</v>
      </c>
    </row>
    <row r="218" customFormat="false" ht="15" hidden="false" customHeight="false" outlineLevel="0" collapsed="false">
      <c r="A218" s="7" t="s">
        <v>81</v>
      </c>
      <c r="B218" s="7" t="s">
        <v>20</v>
      </c>
      <c r="C218" s="7" t="s">
        <v>33</v>
      </c>
      <c r="D218" s="7" t="s">
        <v>19</v>
      </c>
      <c r="E218" s="7" t="n">
        <v>9412</v>
      </c>
      <c r="F218" s="8" t="n">
        <v>41819.45</v>
      </c>
      <c r="G218" s="21" t="n">
        <v>0.15</v>
      </c>
      <c r="H218" s="7" t="n">
        <v>91</v>
      </c>
      <c r="I218" s="7" t="n">
        <v>0</v>
      </c>
      <c r="J218" s="7" t="n">
        <v>0</v>
      </c>
      <c r="K218" s="7" t="n">
        <v>1</v>
      </c>
      <c r="L218" s="8" t="n">
        <v>804975.5</v>
      </c>
      <c r="M218" s="8" t="n">
        <f aca="false">'6. Multiple Regression'!$B$14+'6. Multiple Regression'!$B$15*E218+'6. Multiple Regression'!$B$16*F218+'6. Multiple Regression'!$B$17*G218+'6. Multiple Regression'!$B$18*H218+'6. Multiple Regression'!$B$19*I218+'6. Multiple Regression'!$B$20*J218+'6. Multiple Regression'!$B$21*K218</f>
        <v>750198.1434043</v>
      </c>
      <c r="N218" s="8" t="n">
        <f aca="false">L218-M218</f>
        <v>54777.3565957</v>
      </c>
      <c r="O218" s="8" t="n">
        <f aca="false">ABS(N218)</f>
        <v>54777.3565957</v>
      </c>
      <c r="P218" s="22" t="n">
        <f aca="false">N218/L218</f>
        <v>0.0680484767495409</v>
      </c>
    </row>
    <row r="219" customFormat="false" ht="15" hidden="false" customHeight="false" outlineLevel="0" collapsed="false">
      <c r="A219" s="4" t="s">
        <v>81</v>
      </c>
      <c r="B219" s="4" t="s">
        <v>21</v>
      </c>
      <c r="C219" s="4" t="s">
        <v>33</v>
      </c>
      <c r="D219" s="4" t="s">
        <v>19</v>
      </c>
      <c r="E219" s="4" t="n">
        <v>9644</v>
      </c>
      <c r="F219" s="5" t="n">
        <v>35296.54</v>
      </c>
      <c r="G219" s="19" t="n">
        <v>0</v>
      </c>
      <c r="H219" s="4" t="n">
        <v>88</v>
      </c>
      <c r="I219" s="4" t="n">
        <v>0</v>
      </c>
      <c r="J219" s="4" t="n">
        <v>0</v>
      </c>
      <c r="K219" s="4" t="n">
        <v>1</v>
      </c>
      <c r="L219" s="5" t="n">
        <v>752321.72</v>
      </c>
      <c r="M219" s="5" t="n">
        <f aca="false">'6. Multiple Regression'!$B$14+'6. Multiple Regression'!$B$15*E219+'6. Multiple Regression'!$B$16*F219+'6. Multiple Regression'!$B$17*G219+'6. Multiple Regression'!$B$18*H219+'6. Multiple Regression'!$B$19*I219+'6. Multiple Regression'!$B$20*J219+'6. Multiple Regression'!$B$21*K219</f>
        <v>750240.41334522</v>
      </c>
      <c r="N219" s="5" t="n">
        <f aca="false">L219-M219</f>
        <v>2081.30665478006</v>
      </c>
      <c r="O219" s="5" t="n">
        <f aca="false">ABS(N219)</f>
        <v>2081.30665478006</v>
      </c>
      <c r="P219" s="20" t="n">
        <f aca="false">N219/L219</f>
        <v>0.00276651145307895</v>
      </c>
    </row>
    <row r="220" customFormat="false" ht="15" hidden="false" customHeight="false" outlineLevel="0" collapsed="false">
      <c r="A220" s="7" t="s">
        <v>81</v>
      </c>
      <c r="B220" s="7" t="s">
        <v>22</v>
      </c>
      <c r="C220" s="7" t="s">
        <v>33</v>
      </c>
      <c r="D220" s="7" t="s">
        <v>19</v>
      </c>
      <c r="E220" s="7" t="n">
        <v>11224</v>
      </c>
      <c r="F220" s="8" t="n">
        <v>47391.09</v>
      </c>
      <c r="G220" s="21" t="n">
        <v>0.147</v>
      </c>
      <c r="H220" s="7" t="n">
        <v>88.4</v>
      </c>
      <c r="I220" s="7" t="n">
        <v>0</v>
      </c>
      <c r="J220" s="7" t="n">
        <v>0</v>
      </c>
      <c r="K220" s="7" t="n">
        <v>1</v>
      </c>
      <c r="L220" s="8" t="n">
        <v>836908.24</v>
      </c>
      <c r="M220" s="8" t="n">
        <f aca="false">'6. Multiple Regression'!$B$14+'6. Multiple Regression'!$B$15*E220+'6. Multiple Regression'!$B$16*F220+'6. Multiple Regression'!$B$17*G220+'6. Multiple Regression'!$B$18*H220+'6. Multiple Regression'!$B$19*I220+'6. Multiple Regression'!$B$20*J220+'6. Multiple Regression'!$B$21*K220</f>
        <v>810065.406270631</v>
      </c>
      <c r="N220" s="8" t="n">
        <f aca="false">L220-M220</f>
        <v>26842.833729369</v>
      </c>
      <c r="O220" s="8" t="n">
        <f aca="false">ABS(N220)</f>
        <v>26842.833729369</v>
      </c>
      <c r="P220" s="22" t="n">
        <f aca="false">N220/L220</f>
        <v>0.032073807433619</v>
      </c>
    </row>
    <row r="221" customFormat="false" ht="15" hidden="false" customHeight="false" outlineLevel="0" collapsed="false">
      <c r="A221" s="4" t="s">
        <v>82</v>
      </c>
      <c r="B221" s="4" t="s">
        <v>17</v>
      </c>
      <c r="C221" s="4" t="s">
        <v>26</v>
      </c>
      <c r="D221" s="4" t="s">
        <v>27</v>
      </c>
      <c r="E221" s="4" t="n">
        <v>5394</v>
      </c>
      <c r="F221" s="5" t="n">
        <v>69180.54</v>
      </c>
      <c r="G221" s="19" t="n">
        <v>0.126</v>
      </c>
      <c r="H221" s="4" t="n">
        <v>82.9</v>
      </c>
      <c r="I221" s="4" t="n">
        <v>1</v>
      </c>
      <c r="J221" s="4" t="n">
        <v>0</v>
      </c>
      <c r="K221" s="4" t="n">
        <v>0</v>
      </c>
      <c r="L221" s="5" t="n">
        <v>674289.1</v>
      </c>
      <c r="M221" s="5" t="n">
        <f aca="false">'6. Multiple Regression'!$B$14+'6. Multiple Regression'!$B$15*E221+'6. Multiple Regression'!$B$16*F221+'6. Multiple Regression'!$B$17*G221+'6. Multiple Regression'!$B$18*H221+'6. Multiple Regression'!$B$19*I221+'6. Multiple Regression'!$B$20*J221+'6. Multiple Regression'!$B$21*K221</f>
        <v>662409.699405658</v>
      </c>
      <c r="N221" s="5" t="n">
        <f aca="false">L221-M221</f>
        <v>11879.4005943419</v>
      </c>
      <c r="O221" s="5" t="n">
        <f aca="false">ABS(N221)</f>
        <v>11879.4005943419</v>
      </c>
      <c r="P221" s="20" t="n">
        <f aca="false">N221/L221</f>
        <v>0.0176176666571385</v>
      </c>
    </row>
    <row r="222" customFormat="false" ht="15" hidden="false" customHeight="false" outlineLevel="0" collapsed="false">
      <c r="A222" s="7" t="s">
        <v>82</v>
      </c>
      <c r="B222" s="7" t="s">
        <v>20</v>
      </c>
      <c r="C222" s="7" t="s">
        <v>26</v>
      </c>
      <c r="D222" s="7" t="s">
        <v>27</v>
      </c>
      <c r="E222" s="7" t="n">
        <v>5014</v>
      </c>
      <c r="F222" s="8" t="n">
        <v>33987.33</v>
      </c>
      <c r="G222" s="21" t="n">
        <v>0.246</v>
      </c>
      <c r="H222" s="7" t="n">
        <v>94.3</v>
      </c>
      <c r="I222" s="7" t="n">
        <v>1</v>
      </c>
      <c r="J222" s="7" t="n">
        <v>0</v>
      </c>
      <c r="K222" s="7" t="n">
        <v>0</v>
      </c>
      <c r="L222" s="8" t="n">
        <v>622892.42</v>
      </c>
      <c r="M222" s="8" t="n">
        <f aca="false">'6. Multiple Regression'!$B$14+'6. Multiple Regression'!$B$15*E222+'6. Multiple Regression'!$B$16*F222+'6. Multiple Regression'!$B$17*G222+'6. Multiple Regression'!$B$18*H222+'6. Multiple Regression'!$B$19*I222+'6. Multiple Regression'!$B$20*J222+'6. Multiple Regression'!$B$21*K222</f>
        <v>635742.919807688</v>
      </c>
      <c r="N222" s="8" t="n">
        <f aca="false">L222-M222</f>
        <v>-12850.4998076879</v>
      </c>
      <c r="O222" s="8" t="n">
        <f aca="false">ABS(N222)</f>
        <v>12850.4998076879</v>
      </c>
      <c r="P222" s="22" t="n">
        <f aca="false">N222/L222</f>
        <v>-0.0206303679336601</v>
      </c>
    </row>
    <row r="223" customFormat="false" ht="15" hidden="false" customHeight="false" outlineLevel="0" collapsed="false">
      <c r="A223" s="4" t="s">
        <v>82</v>
      </c>
      <c r="B223" s="4" t="s">
        <v>21</v>
      </c>
      <c r="C223" s="4" t="s">
        <v>26</v>
      </c>
      <c r="D223" s="4" t="s">
        <v>27</v>
      </c>
      <c r="E223" s="4" t="n">
        <v>4467</v>
      </c>
      <c r="F223" s="5" t="n">
        <v>58785.33</v>
      </c>
      <c r="G223" s="19" t="n">
        <v>0.229</v>
      </c>
      <c r="H223" s="4" t="n">
        <v>90.7</v>
      </c>
      <c r="I223" s="4" t="n">
        <v>1</v>
      </c>
      <c r="J223" s="4" t="n">
        <v>0</v>
      </c>
      <c r="K223" s="4" t="n">
        <v>0</v>
      </c>
      <c r="L223" s="5" t="n">
        <v>673348.56</v>
      </c>
      <c r="M223" s="5" t="n">
        <f aca="false">'6. Multiple Regression'!$B$14+'6. Multiple Regression'!$B$15*E223+'6. Multiple Regression'!$B$16*F223+'6. Multiple Regression'!$B$17*G223+'6. Multiple Regression'!$B$18*H223+'6. Multiple Regression'!$B$19*I223+'6. Multiple Regression'!$B$20*J223+'6. Multiple Regression'!$B$21*K223</f>
        <v>636427.734866617</v>
      </c>
      <c r="N223" s="5" t="n">
        <f aca="false">L223-M223</f>
        <v>36920.825133383</v>
      </c>
      <c r="O223" s="5" t="n">
        <f aca="false">ABS(N223)</f>
        <v>36920.825133383</v>
      </c>
      <c r="P223" s="20" t="n">
        <f aca="false">N223/L223</f>
        <v>0.0548316686581806</v>
      </c>
    </row>
    <row r="224" customFormat="false" ht="15" hidden="false" customHeight="false" outlineLevel="0" collapsed="false">
      <c r="A224" s="7" t="s">
        <v>82</v>
      </c>
      <c r="B224" s="7" t="s">
        <v>22</v>
      </c>
      <c r="C224" s="7" t="s">
        <v>26</v>
      </c>
      <c r="D224" s="7" t="s">
        <v>27</v>
      </c>
      <c r="E224" s="7" t="n">
        <v>4678</v>
      </c>
      <c r="F224" s="8" t="n">
        <v>16451.85</v>
      </c>
      <c r="G224" s="21" t="n">
        <v>0.133</v>
      </c>
      <c r="H224" s="7" t="n">
        <v>95.9</v>
      </c>
      <c r="I224" s="7" t="n">
        <v>1</v>
      </c>
      <c r="J224" s="7" t="n">
        <v>0</v>
      </c>
      <c r="K224" s="7" t="n">
        <v>0</v>
      </c>
      <c r="L224" s="8" t="n">
        <v>606278.3</v>
      </c>
      <c r="M224" s="8" t="n">
        <f aca="false">'6. Multiple Regression'!$B$14+'6. Multiple Regression'!$B$15*E224+'6. Multiple Regression'!$B$16*F224+'6. Multiple Regression'!$B$17*G224+'6. Multiple Regression'!$B$18*H224+'6. Multiple Regression'!$B$19*I224+'6. Multiple Regression'!$B$20*J224+'6. Multiple Regression'!$B$21*K224</f>
        <v>615454.164847929</v>
      </c>
      <c r="N224" s="8" t="n">
        <f aca="false">L224-M224</f>
        <v>-9175.86484792898</v>
      </c>
      <c r="O224" s="8" t="n">
        <f aca="false">ABS(N224)</f>
        <v>9175.86484792898</v>
      </c>
      <c r="P224" s="22" t="n">
        <f aca="false">N224/L224</f>
        <v>-0.0151347406759057</v>
      </c>
    </row>
    <row r="225" customFormat="false" ht="15" hidden="false" customHeight="false" outlineLevel="0" collapsed="false">
      <c r="A225" s="4" t="s">
        <v>83</v>
      </c>
      <c r="B225" s="4" t="s">
        <v>17</v>
      </c>
      <c r="C225" s="4" t="s">
        <v>18</v>
      </c>
      <c r="D225" s="4" t="s">
        <v>24</v>
      </c>
      <c r="E225" s="4" t="n">
        <v>7291</v>
      </c>
      <c r="F225" s="5" t="n">
        <v>53367.73</v>
      </c>
      <c r="G225" s="19" t="n">
        <v>0.146</v>
      </c>
      <c r="H225" s="4" t="n">
        <v>90.6</v>
      </c>
      <c r="I225" s="4" t="n">
        <v>0</v>
      </c>
      <c r="J225" s="4" t="n">
        <v>0</v>
      </c>
      <c r="K225" s="4" t="n">
        <v>0</v>
      </c>
      <c r="L225" s="5" t="n">
        <v>712219.81</v>
      </c>
      <c r="M225" s="5" t="n">
        <f aca="false">'6. Multiple Regression'!$B$14+'6. Multiple Regression'!$B$15*E225+'6. Multiple Regression'!$B$16*F225+'6. Multiple Regression'!$B$17*G225+'6. Multiple Regression'!$B$18*H225+'6. Multiple Regression'!$B$19*I225+'6. Multiple Regression'!$B$20*J225+'6. Multiple Regression'!$B$21*K225</f>
        <v>707866.432563088</v>
      </c>
      <c r="N225" s="5" t="n">
        <f aca="false">L225-M225</f>
        <v>4353.37743691204</v>
      </c>
      <c r="O225" s="5" t="n">
        <f aca="false">ABS(N225)</f>
        <v>4353.37743691204</v>
      </c>
      <c r="P225" s="20" t="n">
        <f aca="false">N225/L225</f>
        <v>0.00611240711896519</v>
      </c>
    </row>
    <row r="226" customFormat="false" ht="15" hidden="false" customHeight="false" outlineLevel="0" collapsed="false">
      <c r="A226" s="7" t="s">
        <v>83</v>
      </c>
      <c r="B226" s="7" t="s">
        <v>20</v>
      </c>
      <c r="C226" s="7" t="s">
        <v>18</v>
      </c>
      <c r="D226" s="7" t="s">
        <v>24</v>
      </c>
      <c r="E226" s="7" t="n">
        <v>7404</v>
      </c>
      <c r="F226" s="8" t="n">
        <v>27194.64</v>
      </c>
      <c r="G226" s="21" t="n">
        <v>0.088</v>
      </c>
      <c r="H226" s="7" t="n">
        <v>90.2</v>
      </c>
      <c r="I226" s="7" t="n">
        <v>0</v>
      </c>
      <c r="J226" s="7" t="n">
        <v>0</v>
      </c>
      <c r="K226" s="7" t="n">
        <v>0</v>
      </c>
      <c r="L226" s="8" t="n">
        <v>672670.54</v>
      </c>
      <c r="M226" s="8" t="n">
        <f aca="false">'6. Multiple Regression'!$B$14+'6. Multiple Regression'!$B$15*E226+'6. Multiple Regression'!$B$16*F226+'6. Multiple Regression'!$B$17*G226+'6. Multiple Regression'!$B$18*H226+'6. Multiple Regression'!$B$19*I226+'6. Multiple Regression'!$B$20*J226+'6. Multiple Regression'!$B$21*K226</f>
        <v>683382.885665064</v>
      </c>
      <c r="N226" s="8" t="n">
        <f aca="false">L226-M226</f>
        <v>-10712.3456650639</v>
      </c>
      <c r="O226" s="8" t="n">
        <f aca="false">ABS(N226)</f>
        <v>10712.3456650639</v>
      </c>
      <c r="P226" s="22" t="n">
        <f aca="false">N226/L226</f>
        <v>-0.0159251000721155</v>
      </c>
    </row>
    <row r="227" customFormat="false" ht="15" hidden="false" customHeight="false" outlineLevel="0" collapsed="false">
      <c r="A227" s="4" t="s">
        <v>83</v>
      </c>
      <c r="B227" s="4" t="s">
        <v>21</v>
      </c>
      <c r="C227" s="4" t="s">
        <v>18</v>
      </c>
      <c r="D227" s="4" t="s">
        <v>24</v>
      </c>
      <c r="E227" s="4" t="n">
        <v>7880</v>
      </c>
      <c r="F227" s="5" t="n">
        <v>66962.74</v>
      </c>
      <c r="G227" s="19" t="n">
        <v>0.116</v>
      </c>
      <c r="H227" s="4" t="n">
        <v>90.4</v>
      </c>
      <c r="I227" s="4" t="n">
        <v>0</v>
      </c>
      <c r="J227" s="4" t="n">
        <v>0</v>
      </c>
      <c r="K227" s="4" t="n">
        <v>0</v>
      </c>
      <c r="L227" s="5" t="n">
        <v>732667.92</v>
      </c>
      <c r="M227" s="5" t="n">
        <f aca="false">'6. Multiple Regression'!$B$14+'6. Multiple Regression'!$B$15*E227+'6. Multiple Regression'!$B$16*F227+'6. Multiple Regression'!$B$17*G227+'6. Multiple Regression'!$B$18*H227+'6. Multiple Regression'!$B$19*I227+'6. Multiple Regression'!$B$20*J227+'6. Multiple Regression'!$B$21*K227</f>
        <v>744707.041165128</v>
      </c>
      <c r="N227" s="5" t="n">
        <f aca="false">L227-M227</f>
        <v>-12039.121165128</v>
      </c>
      <c r="O227" s="5" t="n">
        <f aca="false">ABS(N227)</f>
        <v>12039.121165128</v>
      </c>
      <c r="P227" s="20" t="n">
        <f aca="false">N227/L227</f>
        <v>-0.0164318934083097</v>
      </c>
    </row>
    <row r="228" customFormat="false" ht="15" hidden="false" customHeight="false" outlineLevel="0" collapsed="false">
      <c r="A228" s="7" t="s">
        <v>83</v>
      </c>
      <c r="B228" s="7" t="s">
        <v>22</v>
      </c>
      <c r="C228" s="7" t="s">
        <v>18</v>
      </c>
      <c r="D228" s="7" t="s">
        <v>24</v>
      </c>
      <c r="E228" s="7" t="n">
        <v>8773</v>
      </c>
      <c r="F228" s="8" t="n">
        <v>73540.99</v>
      </c>
      <c r="G228" s="21" t="n">
        <v>0.035</v>
      </c>
      <c r="H228" s="7" t="n">
        <v>84.4</v>
      </c>
      <c r="I228" s="7" t="n">
        <v>0</v>
      </c>
      <c r="J228" s="7" t="n">
        <v>0</v>
      </c>
      <c r="K228" s="7" t="n">
        <v>0</v>
      </c>
      <c r="L228" s="8" t="n">
        <v>723531.4</v>
      </c>
      <c r="M228" s="8" t="n">
        <f aca="false">'6. Multiple Regression'!$B$14+'6. Multiple Regression'!$B$15*E228+'6. Multiple Regression'!$B$16*F228+'6. Multiple Regression'!$B$17*G228+'6. Multiple Regression'!$B$18*H228+'6. Multiple Regression'!$B$19*I228+'6. Multiple Regression'!$B$20*J228+'6. Multiple Regression'!$B$21*K228</f>
        <v>769201.670289275</v>
      </c>
      <c r="N228" s="8" t="n">
        <f aca="false">L228-M228</f>
        <v>-45670.2702892751</v>
      </c>
      <c r="O228" s="8" t="n">
        <f aca="false">ABS(N228)</f>
        <v>45670.2702892751</v>
      </c>
      <c r="P228" s="22" t="n">
        <f aca="false">N228/L228</f>
        <v>-0.0631213383265399</v>
      </c>
    </row>
    <row r="229" customFormat="false" ht="15" hidden="false" customHeight="false" outlineLevel="0" collapsed="false">
      <c r="A229" s="4" t="s">
        <v>84</v>
      </c>
      <c r="B229" s="4" t="s">
        <v>17</v>
      </c>
      <c r="C229" s="4" t="s">
        <v>18</v>
      </c>
      <c r="D229" s="4" t="s">
        <v>34</v>
      </c>
      <c r="E229" s="4" t="n">
        <v>4713</v>
      </c>
      <c r="F229" s="5" t="n">
        <v>68212.29</v>
      </c>
      <c r="G229" s="19" t="n">
        <v>0.198</v>
      </c>
      <c r="H229" s="4" t="n">
        <v>82.6</v>
      </c>
      <c r="I229" s="4" t="n">
        <v>0</v>
      </c>
      <c r="J229" s="4" t="n">
        <v>1</v>
      </c>
      <c r="K229" s="4" t="n">
        <v>0</v>
      </c>
      <c r="L229" s="5" t="n">
        <v>641564.6</v>
      </c>
      <c r="M229" s="5" t="n">
        <f aca="false">'6. Multiple Regression'!$B$14+'6. Multiple Regression'!$B$15*E229+'6. Multiple Regression'!$B$16*F229+'6. Multiple Regression'!$B$17*G229+'6. Multiple Regression'!$B$18*H229+'6. Multiple Regression'!$B$19*I229+'6. Multiple Regression'!$B$20*J229+'6. Multiple Regression'!$B$21*K229</f>
        <v>622740.843376444</v>
      </c>
      <c r="N229" s="5" t="n">
        <f aca="false">L229-M229</f>
        <v>18823.756623556</v>
      </c>
      <c r="O229" s="5" t="n">
        <f aca="false">ABS(N229)</f>
        <v>18823.756623556</v>
      </c>
      <c r="P229" s="20" t="n">
        <f aca="false">N229/L229</f>
        <v>0.0293403916356296</v>
      </c>
    </row>
    <row r="230" customFormat="false" ht="15" hidden="false" customHeight="false" outlineLevel="0" collapsed="false">
      <c r="A230" s="7" t="s">
        <v>84</v>
      </c>
      <c r="B230" s="7" t="s">
        <v>20</v>
      </c>
      <c r="C230" s="7" t="s">
        <v>18</v>
      </c>
      <c r="D230" s="7" t="s">
        <v>34</v>
      </c>
      <c r="E230" s="7" t="n">
        <v>2842</v>
      </c>
      <c r="F230" s="8" t="n">
        <v>57225.98</v>
      </c>
      <c r="G230" s="21" t="n">
        <v>0.112</v>
      </c>
      <c r="H230" s="7" t="n">
        <v>79.5</v>
      </c>
      <c r="I230" s="7" t="n">
        <v>0</v>
      </c>
      <c r="J230" s="7" t="n">
        <v>1</v>
      </c>
      <c r="K230" s="7" t="n">
        <v>0</v>
      </c>
      <c r="L230" s="8" t="n">
        <v>536545.49</v>
      </c>
      <c r="M230" s="8" t="n">
        <f aca="false">'6. Multiple Regression'!$B$14+'6. Multiple Regression'!$B$15*E230+'6. Multiple Regression'!$B$16*F230+'6. Multiple Regression'!$B$17*G230+'6. Multiple Regression'!$B$18*H230+'6. Multiple Regression'!$B$19*I230+'6. Multiple Regression'!$B$20*J230+'6. Multiple Regression'!$B$21*K230</f>
        <v>542713.756931696</v>
      </c>
      <c r="N230" s="8" t="n">
        <f aca="false">L230-M230</f>
        <v>-6168.26693169598</v>
      </c>
      <c r="O230" s="8" t="n">
        <f aca="false">ABS(N230)</f>
        <v>6168.26693169598</v>
      </c>
      <c r="P230" s="22" t="n">
        <f aca="false">N230/L230</f>
        <v>-0.0114962608887011</v>
      </c>
    </row>
    <row r="231" customFormat="false" ht="15" hidden="false" customHeight="false" outlineLevel="0" collapsed="false">
      <c r="A231" s="4" t="s">
        <v>84</v>
      </c>
      <c r="B231" s="4" t="s">
        <v>21</v>
      </c>
      <c r="C231" s="4" t="s">
        <v>18</v>
      </c>
      <c r="D231" s="4" t="s">
        <v>34</v>
      </c>
      <c r="E231" s="4" t="n">
        <v>3872</v>
      </c>
      <c r="F231" s="5" t="n">
        <v>42932.02</v>
      </c>
      <c r="G231" s="19" t="n">
        <v>0.171</v>
      </c>
      <c r="H231" s="4" t="n">
        <v>83.2</v>
      </c>
      <c r="I231" s="4" t="n">
        <v>0</v>
      </c>
      <c r="J231" s="4" t="n">
        <v>1</v>
      </c>
      <c r="K231" s="4" t="n">
        <v>0</v>
      </c>
      <c r="L231" s="5" t="n">
        <v>527681.56</v>
      </c>
      <c r="M231" s="5" t="n">
        <f aca="false">'6. Multiple Regression'!$B$14+'6. Multiple Regression'!$B$15*E231+'6. Multiple Regression'!$B$16*F231+'6. Multiple Regression'!$B$17*G231+'6. Multiple Regression'!$B$18*H231+'6. Multiple Regression'!$B$19*I231+'6. Multiple Regression'!$B$20*J231+'6. Multiple Regression'!$B$21*K231</f>
        <v>568356.680258633</v>
      </c>
      <c r="N231" s="5" t="n">
        <f aca="false">L231-M231</f>
        <v>-40675.1202586329</v>
      </c>
      <c r="O231" s="5" t="n">
        <f aca="false">ABS(N231)</f>
        <v>40675.1202586329</v>
      </c>
      <c r="P231" s="20" t="n">
        <f aca="false">N231/L231</f>
        <v>-0.0770827016555836</v>
      </c>
    </row>
    <row r="232" customFormat="false" ht="15" hidden="false" customHeight="false" outlineLevel="0" collapsed="false">
      <c r="A232" s="7" t="s">
        <v>84</v>
      </c>
      <c r="B232" s="7" t="s">
        <v>22</v>
      </c>
      <c r="C232" s="7" t="s">
        <v>18</v>
      </c>
      <c r="D232" s="7" t="s">
        <v>34</v>
      </c>
      <c r="E232" s="7" t="n">
        <v>1375</v>
      </c>
      <c r="F232" s="8" t="n">
        <v>39341.45</v>
      </c>
      <c r="G232" s="21" t="n">
        <v>0.093</v>
      </c>
      <c r="H232" s="7" t="n">
        <v>95</v>
      </c>
      <c r="I232" s="7" t="n">
        <v>0</v>
      </c>
      <c r="J232" s="7" t="n">
        <v>1</v>
      </c>
      <c r="K232" s="7" t="n">
        <v>0</v>
      </c>
      <c r="L232" s="8" t="n">
        <v>529598.94</v>
      </c>
      <c r="M232" s="8" t="n">
        <f aca="false">'6. Multiple Regression'!$B$14+'6. Multiple Regression'!$B$15*E232+'6. Multiple Regression'!$B$16*F232+'6. Multiple Regression'!$B$17*G232+'6. Multiple Regression'!$B$18*H232+'6. Multiple Regression'!$B$19*I232+'6. Multiple Regression'!$B$20*J232+'6. Multiple Regression'!$B$21*K232</f>
        <v>520121.809032709</v>
      </c>
      <c r="N232" s="8" t="n">
        <f aca="false">L232-M232</f>
        <v>9477.13096729096</v>
      </c>
      <c r="O232" s="8" t="n">
        <f aca="false">ABS(N232)</f>
        <v>9477.13096729096</v>
      </c>
      <c r="P232" s="22" t="n">
        <f aca="false">N232/L232</f>
        <v>0.0178949205738421</v>
      </c>
    </row>
    <row r="233" customFormat="false" ht="15" hidden="false" customHeight="false" outlineLevel="0" collapsed="false">
      <c r="A233" s="4" t="s">
        <v>85</v>
      </c>
      <c r="B233" s="4" t="s">
        <v>17</v>
      </c>
      <c r="C233" s="4" t="s">
        <v>18</v>
      </c>
      <c r="D233" s="4" t="s">
        <v>24</v>
      </c>
      <c r="E233" s="4" t="n">
        <v>5957</v>
      </c>
      <c r="F233" s="5" t="n">
        <v>37324.23</v>
      </c>
      <c r="G233" s="19" t="n">
        <v>0.071</v>
      </c>
      <c r="H233" s="4" t="n">
        <v>85.9</v>
      </c>
      <c r="I233" s="4" t="n">
        <v>0</v>
      </c>
      <c r="J233" s="4" t="n">
        <v>0</v>
      </c>
      <c r="K233" s="4" t="n">
        <v>0</v>
      </c>
      <c r="L233" s="5" t="n">
        <v>570963.31</v>
      </c>
      <c r="M233" s="5" t="n">
        <f aca="false">'6. Multiple Regression'!$B$14+'6. Multiple Regression'!$B$15*E233+'6. Multiple Regression'!$B$16*F233+'6. Multiple Regression'!$B$17*G233+'6. Multiple Regression'!$B$18*H233+'6. Multiple Regression'!$B$19*I233+'6. Multiple Regression'!$B$20*J233+'6. Multiple Regression'!$B$21*K233</f>
        <v>634572.970054363</v>
      </c>
      <c r="N233" s="5" t="n">
        <f aca="false">L233-M233</f>
        <v>-63609.660054363</v>
      </c>
      <c r="O233" s="5" t="n">
        <f aca="false">ABS(N233)</f>
        <v>63609.660054363</v>
      </c>
      <c r="P233" s="20" t="n">
        <f aca="false">N233/L233</f>
        <v>-0.111407614010019</v>
      </c>
    </row>
    <row r="234" customFormat="false" ht="15" hidden="false" customHeight="false" outlineLevel="0" collapsed="false">
      <c r="A234" s="7" t="s">
        <v>85</v>
      </c>
      <c r="B234" s="7" t="s">
        <v>20</v>
      </c>
      <c r="C234" s="7" t="s">
        <v>18</v>
      </c>
      <c r="D234" s="7" t="s">
        <v>24</v>
      </c>
      <c r="E234" s="7" t="n">
        <v>8961</v>
      </c>
      <c r="F234" s="8" t="n">
        <v>113736</v>
      </c>
      <c r="G234" s="21" t="n">
        <v>0.202</v>
      </c>
      <c r="H234" s="7" t="n">
        <v>86.2</v>
      </c>
      <c r="I234" s="7" t="n">
        <v>0</v>
      </c>
      <c r="J234" s="7" t="n">
        <v>0</v>
      </c>
      <c r="K234" s="7" t="n">
        <v>0</v>
      </c>
      <c r="L234" s="8" t="n">
        <v>870937.4</v>
      </c>
      <c r="M234" s="8" t="n">
        <f aca="false">'6. Multiple Regression'!$B$14+'6. Multiple Regression'!$B$15*E234+'6. Multiple Regression'!$B$16*F234+'6. Multiple Regression'!$B$17*G234+'6. Multiple Regression'!$B$18*H234+'6. Multiple Regression'!$B$19*I234+'6. Multiple Regression'!$B$20*J234+'6. Multiple Regression'!$B$21*K234</f>
        <v>817939.958729726</v>
      </c>
      <c r="N234" s="8" t="n">
        <f aca="false">L234-M234</f>
        <v>52997.441270274</v>
      </c>
      <c r="O234" s="8" t="n">
        <f aca="false">ABS(N234)</f>
        <v>52997.441270274</v>
      </c>
      <c r="P234" s="22" t="n">
        <f aca="false">N234/L234</f>
        <v>0.0608510339207778</v>
      </c>
    </row>
    <row r="235" customFormat="false" ht="15" hidden="false" customHeight="false" outlineLevel="0" collapsed="false">
      <c r="A235" s="4" t="s">
        <v>85</v>
      </c>
      <c r="B235" s="4" t="s">
        <v>21</v>
      </c>
      <c r="C235" s="4" t="s">
        <v>18</v>
      </c>
      <c r="D235" s="4" t="s">
        <v>24</v>
      </c>
      <c r="E235" s="4" t="n">
        <v>6545</v>
      </c>
      <c r="F235" s="5" t="n">
        <v>33173.95</v>
      </c>
      <c r="G235" s="19" t="n">
        <v>0.169</v>
      </c>
      <c r="H235" s="4" t="n">
        <v>84.4</v>
      </c>
      <c r="I235" s="4" t="n">
        <v>0</v>
      </c>
      <c r="J235" s="4" t="n">
        <v>0</v>
      </c>
      <c r="K235" s="4" t="n">
        <v>0</v>
      </c>
      <c r="L235" s="5" t="n">
        <v>596969.27</v>
      </c>
      <c r="M235" s="5" t="n">
        <f aca="false">'6. Multiple Regression'!$B$14+'6. Multiple Regression'!$B$15*E235+'6. Multiple Regression'!$B$16*F235+'6. Multiple Regression'!$B$17*G235+'6. Multiple Regression'!$B$18*H235+'6. Multiple Regression'!$B$19*I235+'6. Multiple Regression'!$B$20*J235+'6. Multiple Regression'!$B$21*K235</f>
        <v>639254.485268997</v>
      </c>
      <c r="N235" s="5" t="n">
        <f aca="false">L235-M235</f>
        <v>-42285.215268997</v>
      </c>
      <c r="O235" s="5" t="n">
        <f aca="false">ABS(N235)</f>
        <v>42285.215268997</v>
      </c>
      <c r="P235" s="20" t="n">
        <f aca="false">N235/L235</f>
        <v>-0.0708331523815238</v>
      </c>
    </row>
    <row r="236" customFormat="false" ht="15" hidden="false" customHeight="false" outlineLevel="0" collapsed="false">
      <c r="A236" s="7" t="s">
        <v>85</v>
      </c>
      <c r="B236" s="7" t="s">
        <v>22</v>
      </c>
      <c r="C236" s="7" t="s">
        <v>18</v>
      </c>
      <c r="D236" s="7" t="s">
        <v>24</v>
      </c>
      <c r="E236" s="7" t="n">
        <v>5457</v>
      </c>
      <c r="F236" s="8" t="n">
        <v>25818.08</v>
      </c>
      <c r="G236" s="21" t="n">
        <v>0</v>
      </c>
      <c r="H236" s="7" t="n">
        <v>95.4</v>
      </c>
      <c r="I236" s="7" t="n">
        <v>0</v>
      </c>
      <c r="J236" s="7" t="n">
        <v>0</v>
      </c>
      <c r="K236" s="7" t="n">
        <v>0</v>
      </c>
      <c r="L236" s="8" t="n">
        <v>647512.85</v>
      </c>
      <c r="M236" s="8" t="n">
        <f aca="false">'6. Multiple Regression'!$B$14+'6. Multiple Regression'!$B$15*E236+'6. Multiple Regression'!$B$16*F236+'6. Multiple Regression'!$B$17*G236+'6. Multiple Regression'!$B$18*H236+'6. Multiple Regression'!$B$19*I236+'6. Multiple Regression'!$B$20*J236+'6. Multiple Regression'!$B$21*K236</f>
        <v>637025.16676244</v>
      </c>
      <c r="N236" s="8" t="n">
        <f aca="false">L236-M236</f>
        <v>10487.68323756</v>
      </c>
      <c r="O236" s="8" t="n">
        <f aca="false">ABS(N236)</f>
        <v>10487.68323756</v>
      </c>
      <c r="P236" s="22" t="n">
        <f aca="false">N236/L236</f>
        <v>0.0161968727532743</v>
      </c>
    </row>
    <row r="237" customFormat="false" ht="15" hidden="false" customHeight="false" outlineLevel="0" collapsed="false">
      <c r="A237" s="4" t="s">
        <v>86</v>
      </c>
      <c r="B237" s="4" t="s">
        <v>17</v>
      </c>
      <c r="C237" s="4" t="s">
        <v>33</v>
      </c>
      <c r="D237" s="4" t="s">
        <v>19</v>
      </c>
      <c r="E237" s="4" t="n">
        <v>4264</v>
      </c>
      <c r="F237" s="5" t="n">
        <v>47241.92</v>
      </c>
      <c r="G237" s="19" t="n">
        <v>0.069</v>
      </c>
      <c r="H237" s="4" t="n">
        <v>95.3</v>
      </c>
      <c r="I237" s="4" t="n">
        <v>0</v>
      </c>
      <c r="J237" s="4" t="n">
        <v>0</v>
      </c>
      <c r="K237" s="4" t="n">
        <v>1</v>
      </c>
      <c r="L237" s="5" t="n">
        <v>658072.14</v>
      </c>
      <c r="M237" s="5" t="n">
        <f aca="false">'6. Multiple Regression'!$B$14+'6. Multiple Regression'!$B$15*E237+'6. Multiple Regression'!$B$16*F237+'6. Multiple Regression'!$B$17*G237+'6. Multiple Regression'!$B$18*H237+'6. Multiple Regression'!$B$19*I237+'6. Multiple Regression'!$B$20*J237+'6. Multiple Regression'!$B$21*K237</f>
        <v>600891.364185407</v>
      </c>
      <c r="N237" s="5" t="n">
        <f aca="false">L237-M237</f>
        <v>57180.7758145931</v>
      </c>
      <c r="O237" s="5" t="n">
        <f aca="false">ABS(N237)</f>
        <v>57180.7758145931</v>
      </c>
      <c r="P237" s="20" t="n">
        <f aca="false">N237/L237</f>
        <v>0.0868913487426972</v>
      </c>
    </row>
    <row r="238" customFormat="false" ht="15" hidden="false" customHeight="false" outlineLevel="0" collapsed="false">
      <c r="A238" s="7" t="s">
        <v>86</v>
      </c>
      <c r="B238" s="7" t="s">
        <v>20</v>
      </c>
      <c r="C238" s="7" t="s">
        <v>33</v>
      </c>
      <c r="D238" s="7" t="s">
        <v>19</v>
      </c>
      <c r="E238" s="7" t="n">
        <v>5321</v>
      </c>
      <c r="F238" s="8" t="n">
        <v>61650.79</v>
      </c>
      <c r="G238" s="21" t="n">
        <v>0.126</v>
      </c>
      <c r="H238" s="7" t="n">
        <v>89.2</v>
      </c>
      <c r="I238" s="7" t="n">
        <v>0</v>
      </c>
      <c r="J238" s="7" t="n">
        <v>0</v>
      </c>
      <c r="K238" s="7" t="n">
        <v>1</v>
      </c>
      <c r="L238" s="8" t="n">
        <v>723305.11</v>
      </c>
      <c r="M238" s="8" t="n">
        <f aca="false">'6. Multiple Regression'!$B$14+'6. Multiple Regression'!$B$15*E238+'6. Multiple Regression'!$B$16*F238+'6. Multiple Regression'!$B$17*G238+'6. Multiple Regression'!$B$18*H238+'6. Multiple Regression'!$B$19*I238+'6. Multiple Regression'!$B$20*J238+'6. Multiple Regression'!$B$21*K238</f>
        <v>631602.297597408</v>
      </c>
      <c r="N238" s="8" t="n">
        <f aca="false">L238-M238</f>
        <v>91702.812402592</v>
      </c>
      <c r="O238" s="8" t="n">
        <f aca="false">ABS(N238)</f>
        <v>91702.812402592</v>
      </c>
      <c r="P238" s="22" t="n">
        <f aca="false">N238/L238</f>
        <v>0.126783028537697</v>
      </c>
    </row>
    <row r="239" customFormat="false" ht="15" hidden="false" customHeight="false" outlineLevel="0" collapsed="false">
      <c r="A239" s="4" t="s">
        <v>86</v>
      </c>
      <c r="B239" s="4" t="s">
        <v>21</v>
      </c>
      <c r="C239" s="4" t="s">
        <v>33</v>
      </c>
      <c r="D239" s="4" t="s">
        <v>19</v>
      </c>
      <c r="E239" s="4" t="n">
        <v>5479</v>
      </c>
      <c r="F239" s="5" t="n">
        <v>62582.71</v>
      </c>
      <c r="G239" s="19" t="n">
        <v>0.048</v>
      </c>
      <c r="H239" s="4" t="n">
        <v>81.2</v>
      </c>
      <c r="I239" s="4" t="n">
        <v>0</v>
      </c>
      <c r="J239" s="4" t="n">
        <v>0</v>
      </c>
      <c r="K239" s="4" t="n">
        <v>1</v>
      </c>
      <c r="L239" s="5" t="n">
        <v>640666.53</v>
      </c>
      <c r="M239" s="5" t="n">
        <f aca="false">'6. Multiple Regression'!$B$14+'6. Multiple Regression'!$B$15*E239+'6. Multiple Regression'!$B$16*F239+'6. Multiple Regression'!$B$17*G239+'6. Multiple Regression'!$B$18*H239+'6. Multiple Regression'!$B$19*I239+'6. Multiple Regression'!$B$20*J239+'6. Multiple Regression'!$B$21*K239</f>
        <v>618593.677125054</v>
      </c>
      <c r="N239" s="5" t="n">
        <f aca="false">L239-M239</f>
        <v>22072.8528749461</v>
      </c>
      <c r="O239" s="5" t="n">
        <f aca="false">ABS(N239)</f>
        <v>22072.8528749461</v>
      </c>
      <c r="P239" s="20" t="n">
        <f aca="false">N239/L239</f>
        <v>0.0344529514831157</v>
      </c>
    </row>
    <row r="240" customFormat="false" ht="15" hidden="false" customHeight="false" outlineLevel="0" collapsed="false">
      <c r="A240" s="7" t="s">
        <v>86</v>
      </c>
      <c r="B240" s="7" t="s">
        <v>22</v>
      </c>
      <c r="C240" s="7" t="s">
        <v>33</v>
      </c>
      <c r="D240" s="7" t="s">
        <v>19</v>
      </c>
      <c r="E240" s="7" t="n">
        <v>6169</v>
      </c>
      <c r="F240" s="8" t="n">
        <v>47944.14</v>
      </c>
      <c r="G240" s="21" t="n">
        <v>0.119</v>
      </c>
      <c r="H240" s="7" t="n">
        <v>92.2</v>
      </c>
      <c r="I240" s="7" t="n">
        <v>0</v>
      </c>
      <c r="J240" s="7" t="n">
        <v>0</v>
      </c>
      <c r="K240" s="7" t="n">
        <v>1</v>
      </c>
      <c r="L240" s="8" t="n">
        <v>670629.48</v>
      </c>
      <c r="M240" s="8" t="n">
        <f aca="false">'6. Multiple Regression'!$B$14+'6. Multiple Regression'!$B$15*E240+'6. Multiple Regression'!$B$16*F240+'6. Multiple Regression'!$B$17*G240+'6. Multiple Regression'!$B$18*H240+'6. Multiple Regression'!$B$19*I240+'6. Multiple Regression'!$B$20*J240+'6. Multiple Regression'!$B$21*K240</f>
        <v>653590.741172517</v>
      </c>
      <c r="N240" s="8" t="n">
        <f aca="false">L240-M240</f>
        <v>17038.7388274829</v>
      </c>
      <c r="O240" s="8" t="n">
        <f aca="false">ABS(N240)</f>
        <v>17038.7388274829</v>
      </c>
      <c r="P240" s="22" t="n">
        <f aca="false">N240/L240</f>
        <v>0.0254070829506077</v>
      </c>
    </row>
    <row r="241" customFormat="false" ht="15" hidden="false" customHeight="false" outlineLevel="0" collapsed="false">
      <c r="A241" s="4" t="s">
        <v>87</v>
      </c>
      <c r="B241" s="4" t="s">
        <v>17</v>
      </c>
      <c r="C241" s="4" t="s">
        <v>33</v>
      </c>
      <c r="D241" s="4" t="s">
        <v>34</v>
      </c>
      <c r="E241" s="4" t="n">
        <v>9908</v>
      </c>
      <c r="F241" s="5" t="n">
        <v>46495.4</v>
      </c>
      <c r="G241" s="19" t="n">
        <v>0.121</v>
      </c>
      <c r="H241" s="4" t="n">
        <v>89.4</v>
      </c>
      <c r="I241" s="4" t="n">
        <v>0</v>
      </c>
      <c r="J241" s="4" t="n">
        <v>1</v>
      </c>
      <c r="K241" s="4" t="n">
        <v>0</v>
      </c>
      <c r="L241" s="5" t="n">
        <v>721079.35</v>
      </c>
      <c r="M241" s="5" t="n">
        <f aca="false">'6. Multiple Regression'!$B$14+'6. Multiple Regression'!$B$15*E241+'6. Multiple Regression'!$B$16*F241+'6. Multiple Regression'!$B$17*G241+'6. Multiple Regression'!$B$18*H241+'6. Multiple Regression'!$B$19*I241+'6. Multiple Regression'!$B$20*J241+'6. Multiple Regression'!$B$21*K241</f>
        <v>797261.577002823</v>
      </c>
      <c r="N241" s="5" t="n">
        <f aca="false">L241-M241</f>
        <v>-76182.2270028231</v>
      </c>
      <c r="O241" s="5" t="n">
        <f aca="false">ABS(N241)</f>
        <v>76182.2270028231</v>
      </c>
      <c r="P241" s="20" t="n">
        <f aca="false">N241/L241</f>
        <v>-0.105650268590861</v>
      </c>
    </row>
    <row r="242" customFormat="false" ht="15" hidden="false" customHeight="false" outlineLevel="0" collapsed="false">
      <c r="A242" s="7" t="s">
        <v>87</v>
      </c>
      <c r="B242" s="7" t="s">
        <v>20</v>
      </c>
      <c r="C242" s="7" t="s">
        <v>33</v>
      </c>
      <c r="D242" s="7" t="s">
        <v>34</v>
      </c>
      <c r="E242" s="7" t="n">
        <v>9996</v>
      </c>
      <c r="F242" s="8" t="n">
        <v>72961.95</v>
      </c>
      <c r="G242" s="21" t="n">
        <v>0.106</v>
      </c>
      <c r="H242" s="7" t="n">
        <v>89.1</v>
      </c>
      <c r="I242" s="7" t="n">
        <v>0</v>
      </c>
      <c r="J242" s="7" t="n">
        <v>1</v>
      </c>
      <c r="K242" s="7" t="n">
        <v>0</v>
      </c>
      <c r="L242" s="8" t="n">
        <v>810355.02</v>
      </c>
      <c r="M242" s="8" t="n">
        <f aca="false">'6. Multiple Regression'!$B$14+'6. Multiple Regression'!$B$15*E242+'6. Multiple Regression'!$B$16*F242+'6. Multiple Regression'!$B$17*G242+'6. Multiple Regression'!$B$18*H242+'6. Multiple Regression'!$B$19*I242+'6. Multiple Regression'!$B$20*J242+'6. Multiple Regression'!$B$21*K242</f>
        <v>831054.076794528</v>
      </c>
      <c r="N242" s="8" t="n">
        <f aca="false">L242-M242</f>
        <v>-20699.056794528</v>
      </c>
      <c r="O242" s="8" t="n">
        <f aca="false">ABS(N242)</f>
        <v>20699.056794528</v>
      </c>
      <c r="P242" s="22" t="n">
        <f aca="false">N242/L242</f>
        <v>-0.0255431956163214</v>
      </c>
    </row>
    <row r="243" customFormat="false" ht="15" hidden="false" customHeight="false" outlineLevel="0" collapsed="false">
      <c r="A243" s="4" t="s">
        <v>87</v>
      </c>
      <c r="B243" s="4" t="s">
        <v>21</v>
      </c>
      <c r="C243" s="4" t="s">
        <v>33</v>
      </c>
      <c r="D243" s="4" t="s">
        <v>34</v>
      </c>
      <c r="E243" s="4" t="n">
        <v>9702</v>
      </c>
      <c r="F243" s="5" t="n">
        <v>59060.05</v>
      </c>
      <c r="G243" s="19" t="n">
        <v>0.201</v>
      </c>
      <c r="H243" s="4" t="n">
        <v>80.9</v>
      </c>
      <c r="I243" s="4" t="n">
        <v>0</v>
      </c>
      <c r="J243" s="4" t="n">
        <v>1</v>
      </c>
      <c r="K243" s="4" t="n">
        <v>0</v>
      </c>
      <c r="L243" s="5" t="n">
        <v>761919.25</v>
      </c>
      <c r="M243" s="5" t="n">
        <f aca="false">'6. Multiple Regression'!$B$14+'6. Multiple Regression'!$B$15*E243+'6. Multiple Regression'!$B$16*F243+'6. Multiple Regression'!$B$17*G243+'6. Multiple Regression'!$B$18*H243+'6. Multiple Regression'!$B$19*I243+'6. Multiple Regression'!$B$20*J243+'6. Multiple Regression'!$B$21*K243</f>
        <v>774746.893147813</v>
      </c>
      <c r="N243" s="5" t="n">
        <f aca="false">L243-M243</f>
        <v>-12827.643147813</v>
      </c>
      <c r="O243" s="5" t="n">
        <f aca="false">ABS(N243)</f>
        <v>12827.643147813</v>
      </c>
      <c r="P243" s="20" t="n">
        <f aca="false">N243/L243</f>
        <v>-0.0168359614851745</v>
      </c>
    </row>
    <row r="244" customFormat="false" ht="15" hidden="false" customHeight="false" outlineLevel="0" collapsed="false">
      <c r="A244" s="7" t="s">
        <v>87</v>
      </c>
      <c r="B244" s="7" t="s">
        <v>22</v>
      </c>
      <c r="C244" s="7" t="s">
        <v>33</v>
      </c>
      <c r="D244" s="7" t="s">
        <v>34</v>
      </c>
      <c r="E244" s="7" t="n">
        <v>9314</v>
      </c>
      <c r="F244" s="8" t="n">
        <v>26248.1</v>
      </c>
      <c r="G244" s="21" t="n">
        <v>0.186</v>
      </c>
      <c r="H244" s="7" t="n">
        <v>83.7</v>
      </c>
      <c r="I244" s="7" t="n">
        <v>0</v>
      </c>
      <c r="J244" s="7" t="n">
        <v>1</v>
      </c>
      <c r="K244" s="7" t="n">
        <v>0</v>
      </c>
      <c r="L244" s="8" t="n">
        <v>737070.18</v>
      </c>
      <c r="M244" s="8" t="n">
        <f aca="false">'6. Multiple Regression'!$B$14+'6. Multiple Regression'!$B$15*E244+'6. Multiple Regression'!$B$16*F244+'6. Multiple Regression'!$B$17*G244+'6. Multiple Regression'!$B$18*H244+'6. Multiple Regression'!$B$19*I244+'6. Multiple Regression'!$B$20*J244+'6. Multiple Regression'!$B$21*K244</f>
        <v>732730.166044518</v>
      </c>
      <c r="N244" s="8" t="n">
        <f aca="false">L244-M244</f>
        <v>4340.01395548205</v>
      </c>
      <c r="O244" s="8" t="n">
        <f aca="false">ABS(N244)</f>
        <v>4340.01395548205</v>
      </c>
      <c r="P244" s="22" t="n">
        <f aca="false">N244/L244</f>
        <v>0.00588819636616156</v>
      </c>
    </row>
    <row r="245" customFormat="false" ht="15" hidden="false" customHeight="false" outlineLevel="0" collapsed="false">
      <c r="A245" s="4" t="s">
        <v>88</v>
      </c>
      <c r="B245" s="4" t="s">
        <v>17</v>
      </c>
      <c r="C245" s="4" t="s">
        <v>30</v>
      </c>
      <c r="D245" s="4" t="s">
        <v>27</v>
      </c>
      <c r="E245" s="4" t="n">
        <v>8055</v>
      </c>
      <c r="F245" s="5" t="n">
        <v>69900.12</v>
      </c>
      <c r="G245" s="19" t="n">
        <v>0.281</v>
      </c>
      <c r="H245" s="4" t="n">
        <v>85.6</v>
      </c>
      <c r="I245" s="4" t="n">
        <v>1</v>
      </c>
      <c r="J245" s="4" t="n">
        <v>0</v>
      </c>
      <c r="K245" s="4" t="n">
        <v>0</v>
      </c>
      <c r="L245" s="5" t="n">
        <v>776992.93</v>
      </c>
      <c r="M245" s="5" t="n">
        <f aca="false">'6. Multiple Regression'!$B$14+'6. Multiple Regression'!$B$15*E245+'6. Multiple Regression'!$B$16*F245+'6. Multiple Regression'!$B$17*G245+'6. Multiple Regression'!$B$18*H245+'6. Multiple Regression'!$B$19*I245+'6. Multiple Regression'!$B$20*J245+'6. Multiple Regression'!$B$21*K245</f>
        <v>751799.849891863</v>
      </c>
      <c r="N245" s="5" t="n">
        <f aca="false">L245-M245</f>
        <v>25193.0801081371</v>
      </c>
      <c r="O245" s="5" t="n">
        <f aca="false">ABS(N245)</f>
        <v>25193.0801081371</v>
      </c>
      <c r="P245" s="20" t="n">
        <f aca="false">N245/L245</f>
        <v>0.0324238215502644</v>
      </c>
    </row>
    <row r="246" customFormat="false" ht="15" hidden="false" customHeight="false" outlineLevel="0" collapsed="false">
      <c r="A246" s="7" t="s">
        <v>88</v>
      </c>
      <c r="B246" s="7" t="s">
        <v>20</v>
      </c>
      <c r="C246" s="7" t="s">
        <v>30</v>
      </c>
      <c r="D246" s="7" t="s">
        <v>27</v>
      </c>
      <c r="E246" s="7" t="n">
        <v>5648</v>
      </c>
      <c r="F246" s="8" t="n">
        <v>51781.6</v>
      </c>
      <c r="G246" s="21" t="n">
        <v>0.059</v>
      </c>
      <c r="H246" s="7" t="n">
        <v>85.5</v>
      </c>
      <c r="I246" s="7" t="n">
        <v>1</v>
      </c>
      <c r="J246" s="7" t="n">
        <v>0</v>
      </c>
      <c r="K246" s="7" t="n">
        <v>0</v>
      </c>
      <c r="L246" s="8" t="n">
        <v>676337.41</v>
      </c>
      <c r="M246" s="8" t="n">
        <f aca="false">'6. Multiple Regression'!$B$14+'6. Multiple Regression'!$B$15*E246+'6. Multiple Regression'!$B$16*F246+'6. Multiple Regression'!$B$17*G246+'6. Multiple Regression'!$B$18*H246+'6. Multiple Regression'!$B$19*I246+'6. Multiple Regression'!$B$20*J246+'6. Multiple Regression'!$B$21*K246</f>
        <v>662432.918396017</v>
      </c>
      <c r="N246" s="8" t="n">
        <f aca="false">L246-M246</f>
        <v>13904.491603983</v>
      </c>
      <c r="O246" s="8" t="n">
        <f aca="false">ABS(N246)</f>
        <v>13904.491603983</v>
      </c>
      <c r="P246" s="22" t="n">
        <f aca="false">N246/L246</f>
        <v>0.0205585132485618</v>
      </c>
    </row>
    <row r="247" customFormat="false" ht="15" hidden="false" customHeight="false" outlineLevel="0" collapsed="false">
      <c r="A247" s="4" t="s">
        <v>88</v>
      </c>
      <c r="B247" s="4" t="s">
        <v>21</v>
      </c>
      <c r="C247" s="4" t="s">
        <v>30</v>
      </c>
      <c r="D247" s="4" t="s">
        <v>27</v>
      </c>
      <c r="E247" s="4" t="n">
        <v>10076</v>
      </c>
      <c r="F247" s="5" t="n">
        <v>70799.64</v>
      </c>
      <c r="G247" s="19" t="n">
        <v>0.152</v>
      </c>
      <c r="H247" s="4" t="n">
        <v>84.8</v>
      </c>
      <c r="I247" s="4" t="n">
        <v>1</v>
      </c>
      <c r="J247" s="4" t="n">
        <v>0</v>
      </c>
      <c r="K247" s="4" t="n">
        <v>0</v>
      </c>
      <c r="L247" s="5" t="n">
        <v>828219.67</v>
      </c>
      <c r="M247" s="5" t="n">
        <f aca="false">'6. Multiple Regression'!$B$14+'6. Multiple Regression'!$B$15*E247+'6. Multiple Regression'!$B$16*F247+'6. Multiple Regression'!$B$17*G247+'6. Multiple Regression'!$B$18*H247+'6. Multiple Regression'!$B$19*I247+'6. Multiple Regression'!$B$20*J247+'6. Multiple Regression'!$B$21*K247</f>
        <v>826083.824191096</v>
      </c>
      <c r="N247" s="5" t="n">
        <f aca="false">L247-M247</f>
        <v>2135.84580890392</v>
      </c>
      <c r="O247" s="5" t="n">
        <f aca="false">ABS(N247)</f>
        <v>2135.84580890392</v>
      </c>
      <c r="P247" s="20" t="n">
        <f aca="false">N247/L247</f>
        <v>0.00257883975262737</v>
      </c>
    </row>
    <row r="248" customFormat="false" ht="15" hidden="false" customHeight="false" outlineLevel="0" collapsed="false">
      <c r="A248" s="7" t="s">
        <v>88</v>
      </c>
      <c r="B248" s="7" t="s">
        <v>22</v>
      </c>
      <c r="C248" s="7" t="s">
        <v>30</v>
      </c>
      <c r="D248" s="7" t="s">
        <v>27</v>
      </c>
      <c r="E248" s="7" t="n">
        <v>8004</v>
      </c>
      <c r="F248" s="8" t="n">
        <v>53546.34</v>
      </c>
      <c r="G248" s="21" t="n">
        <v>0</v>
      </c>
      <c r="H248" s="7" t="n">
        <v>95.2</v>
      </c>
      <c r="I248" s="7" t="n">
        <v>1</v>
      </c>
      <c r="J248" s="7" t="n">
        <v>0</v>
      </c>
      <c r="K248" s="7" t="n">
        <v>0</v>
      </c>
      <c r="L248" s="8" t="n">
        <v>763159.92</v>
      </c>
      <c r="M248" s="8" t="n">
        <f aca="false">'6. Multiple Regression'!$B$14+'6. Multiple Regression'!$B$15*E248+'6. Multiple Regression'!$B$16*F248+'6. Multiple Regression'!$B$17*G248+'6. Multiple Regression'!$B$18*H248+'6. Multiple Regression'!$B$19*I248+'6. Multiple Regression'!$B$20*J248+'6. Multiple Regression'!$B$21*K248</f>
        <v>776390.97464062</v>
      </c>
      <c r="N248" s="8" t="n">
        <f aca="false">L248-M248</f>
        <v>-13231.05464062</v>
      </c>
      <c r="O248" s="8" t="n">
        <f aca="false">ABS(N248)</f>
        <v>13231.05464062</v>
      </c>
      <c r="P248" s="22" t="n">
        <f aca="false">N248/L248</f>
        <v>-0.0173371980025104</v>
      </c>
    </row>
    <row r="249" customFormat="false" ht="15" hidden="false" customHeight="false" outlineLevel="0" collapsed="false">
      <c r="A249" s="4" t="s">
        <v>89</v>
      </c>
      <c r="B249" s="4" t="s">
        <v>17</v>
      </c>
      <c r="C249" s="4" t="s">
        <v>18</v>
      </c>
      <c r="D249" s="4" t="s">
        <v>24</v>
      </c>
      <c r="E249" s="4" t="n">
        <v>8934</v>
      </c>
      <c r="F249" s="5" t="n">
        <v>76942.2</v>
      </c>
      <c r="G249" s="19" t="n">
        <v>0.084</v>
      </c>
      <c r="H249" s="4" t="n">
        <v>91</v>
      </c>
      <c r="I249" s="4" t="n">
        <v>0</v>
      </c>
      <c r="J249" s="4" t="n">
        <v>0</v>
      </c>
      <c r="K249" s="4" t="n">
        <v>0</v>
      </c>
      <c r="L249" s="5" t="n">
        <v>802001.68</v>
      </c>
      <c r="M249" s="5" t="n">
        <f aca="false">'6. Multiple Regression'!$B$14+'6. Multiple Regression'!$B$15*E249+'6. Multiple Regression'!$B$16*F249+'6. Multiple Regression'!$B$17*G249+'6. Multiple Regression'!$B$18*H249+'6. Multiple Regression'!$B$19*I249+'6. Multiple Regression'!$B$20*J249+'6. Multiple Regression'!$B$21*K249</f>
        <v>795506.498053892</v>
      </c>
      <c r="N249" s="5" t="n">
        <f aca="false">L249-M249</f>
        <v>6495.181946108</v>
      </c>
      <c r="O249" s="5" t="n">
        <f aca="false">ABS(N249)</f>
        <v>6495.181946108</v>
      </c>
      <c r="P249" s="20" t="n">
        <f aca="false">N249/L249</f>
        <v>0.00809871364123327</v>
      </c>
    </row>
    <row r="250" customFormat="false" ht="15" hidden="false" customHeight="false" outlineLevel="0" collapsed="false">
      <c r="A250" s="7" t="s">
        <v>89</v>
      </c>
      <c r="B250" s="7" t="s">
        <v>20</v>
      </c>
      <c r="C250" s="7" t="s">
        <v>18</v>
      </c>
      <c r="D250" s="7" t="s">
        <v>24</v>
      </c>
      <c r="E250" s="7" t="n">
        <v>8733</v>
      </c>
      <c r="F250" s="8" t="n">
        <v>48060.78</v>
      </c>
      <c r="G250" s="21" t="n">
        <v>0</v>
      </c>
      <c r="H250" s="7" t="n">
        <v>89.9</v>
      </c>
      <c r="I250" s="7" t="n">
        <v>0</v>
      </c>
      <c r="J250" s="7" t="n">
        <v>0</v>
      </c>
      <c r="K250" s="7" t="n">
        <v>0</v>
      </c>
      <c r="L250" s="8" t="n">
        <v>750471.34</v>
      </c>
      <c r="M250" s="8" t="n">
        <f aca="false">'6. Multiple Regression'!$B$14+'6. Multiple Regression'!$B$15*E250+'6. Multiple Regression'!$B$16*F250+'6. Multiple Regression'!$B$17*G250+'6. Multiple Regression'!$B$18*H250+'6. Multiple Regression'!$B$19*I250+'6. Multiple Regression'!$B$20*J250+'6. Multiple Regression'!$B$21*K250</f>
        <v>756726.89231604</v>
      </c>
      <c r="N250" s="8" t="n">
        <f aca="false">L250-M250</f>
        <v>-6255.55231604015</v>
      </c>
      <c r="O250" s="8" t="n">
        <f aca="false">ABS(N250)</f>
        <v>6255.55231604015</v>
      </c>
      <c r="P250" s="22" t="n">
        <f aca="false">N250/L250</f>
        <v>-0.00833549794991525</v>
      </c>
    </row>
    <row r="251" customFormat="false" ht="15" hidden="false" customHeight="false" outlineLevel="0" collapsed="false">
      <c r="A251" s="4" t="s">
        <v>89</v>
      </c>
      <c r="B251" s="4" t="s">
        <v>21</v>
      </c>
      <c r="C251" s="4" t="s">
        <v>18</v>
      </c>
      <c r="D251" s="4" t="s">
        <v>24</v>
      </c>
      <c r="E251" s="4" t="n">
        <v>7374</v>
      </c>
      <c r="F251" s="5" t="n">
        <v>57390.04</v>
      </c>
      <c r="G251" s="19" t="n">
        <v>0.21</v>
      </c>
      <c r="H251" s="4" t="n">
        <v>91.8</v>
      </c>
      <c r="I251" s="4" t="n">
        <v>0</v>
      </c>
      <c r="J251" s="4" t="n">
        <v>0</v>
      </c>
      <c r="K251" s="4" t="n">
        <v>0</v>
      </c>
      <c r="L251" s="5" t="n">
        <v>679230.86</v>
      </c>
      <c r="M251" s="5" t="n">
        <f aca="false">'6. Multiple Regression'!$B$14+'6. Multiple Regression'!$B$15*E251+'6. Multiple Regression'!$B$16*F251+'6. Multiple Regression'!$B$17*G251+'6. Multiple Regression'!$B$18*H251+'6. Multiple Regression'!$B$19*I251+'6. Multiple Regression'!$B$20*J251+'6. Multiple Regression'!$B$21*K251</f>
        <v>715179.05552895</v>
      </c>
      <c r="N251" s="5" t="n">
        <f aca="false">L251-M251</f>
        <v>-35948.19552895</v>
      </c>
      <c r="O251" s="5" t="n">
        <f aca="false">ABS(N251)</f>
        <v>35948.19552895</v>
      </c>
      <c r="P251" s="20" t="n">
        <f aca="false">N251/L251</f>
        <v>-0.0529248561070237</v>
      </c>
    </row>
    <row r="252" customFormat="false" ht="15" hidden="false" customHeight="false" outlineLevel="0" collapsed="false">
      <c r="A252" s="7" t="s">
        <v>89</v>
      </c>
      <c r="B252" s="7" t="s">
        <v>22</v>
      </c>
      <c r="C252" s="7" t="s">
        <v>18</v>
      </c>
      <c r="D252" s="7" t="s">
        <v>24</v>
      </c>
      <c r="E252" s="7" t="n">
        <v>8119</v>
      </c>
      <c r="F252" s="8" t="n">
        <v>21536.18</v>
      </c>
      <c r="G252" s="21" t="n">
        <v>0.227</v>
      </c>
      <c r="H252" s="7" t="n">
        <v>90.4</v>
      </c>
      <c r="I252" s="7" t="n">
        <v>0</v>
      </c>
      <c r="J252" s="7" t="n">
        <v>0</v>
      </c>
      <c r="K252" s="7" t="n">
        <v>0</v>
      </c>
      <c r="L252" s="8" t="n">
        <v>679888.74</v>
      </c>
      <c r="M252" s="8" t="n">
        <f aca="false">'6. Multiple Regression'!$B$14+'6. Multiple Regression'!$B$15*E252+'6. Multiple Regression'!$B$16*F252+'6. Multiple Regression'!$B$17*G252+'6. Multiple Regression'!$B$18*H252+'6. Multiple Regression'!$B$19*I252+'6. Multiple Regression'!$B$20*J252+'6. Multiple Regression'!$B$21*K252</f>
        <v>693268.286696041</v>
      </c>
      <c r="N252" s="8" t="n">
        <f aca="false">L252-M252</f>
        <v>-13379.546696041</v>
      </c>
      <c r="O252" s="8" t="n">
        <f aca="false">ABS(N252)</f>
        <v>13379.546696041</v>
      </c>
      <c r="P252" s="22" t="n">
        <f aca="false">N252/L252</f>
        <v>-0.0196790238003368</v>
      </c>
    </row>
    <row r="253" customFormat="false" ht="15" hidden="false" customHeight="false" outlineLevel="0" collapsed="false">
      <c r="A253" s="4" t="s">
        <v>90</v>
      </c>
      <c r="B253" s="4" t="s">
        <v>17</v>
      </c>
      <c r="C253" s="4" t="s">
        <v>26</v>
      </c>
      <c r="D253" s="4" t="s">
        <v>24</v>
      </c>
      <c r="E253" s="4" t="n">
        <v>3875</v>
      </c>
      <c r="F253" s="5" t="n">
        <v>40923.67</v>
      </c>
      <c r="G253" s="19" t="n">
        <v>0.15</v>
      </c>
      <c r="H253" s="4" t="n">
        <v>96.1</v>
      </c>
      <c r="I253" s="4" t="n">
        <v>0</v>
      </c>
      <c r="J253" s="4" t="n">
        <v>0</v>
      </c>
      <c r="K253" s="4" t="n">
        <v>0</v>
      </c>
      <c r="L253" s="5" t="n">
        <v>606783.67</v>
      </c>
      <c r="M253" s="5" t="n">
        <f aca="false">'6. Multiple Regression'!$B$14+'6. Multiple Regression'!$B$15*E253+'6. Multiple Regression'!$B$16*F253+'6. Multiple Regression'!$B$17*G253+'6. Multiple Regression'!$B$18*H253+'6. Multiple Regression'!$B$19*I253+'6. Multiple Regression'!$B$20*J253+'6. Multiple Regression'!$B$21*K253</f>
        <v>594636.25341126</v>
      </c>
      <c r="N253" s="5" t="n">
        <f aca="false">L253-M253</f>
        <v>12147.4165887401</v>
      </c>
      <c r="O253" s="5" t="n">
        <f aca="false">ABS(N253)</f>
        <v>12147.4165887401</v>
      </c>
      <c r="P253" s="20" t="n">
        <f aca="false">N253/L253</f>
        <v>0.0200193531720128</v>
      </c>
    </row>
    <row r="254" customFormat="false" ht="15" hidden="false" customHeight="false" outlineLevel="0" collapsed="false">
      <c r="A254" s="7" t="s">
        <v>90</v>
      </c>
      <c r="B254" s="7" t="s">
        <v>20</v>
      </c>
      <c r="C254" s="7" t="s">
        <v>26</v>
      </c>
      <c r="D254" s="7" t="s">
        <v>24</v>
      </c>
      <c r="E254" s="7" t="n">
        <v>5765</v>
      </c>
      <c r="F254" s="8" t="n">
        <v>72932.55</v>
      </c>
      <c r="G254" s="21" t="n">
        <v>0.026</v>
      </c>
      <c r="H254" s="7" t="n">
        <v>81.8</v>
      </c>
      <c r="I254" s="7" t="n">
        <v>0</v>
      </c>
      <c r="J254" s="7" t="n">
        <v>0</v>
      </c>
      <c r="K254" s="7" t="n">
        <v>0</v>
      </c>
      <c r="L254" s="8" t="n">
        <v>642751.42</v>
      </c>
      <c r="M254" s="8" t="n">
        <f aca="false">'6. Multiple Regression'!$B$14+'6. Multiple Regression'!$B$15*E254+'6. Multiple Regression'!$B$16*F254+'6. Multiple Regression'!$B$17*G254+'6. Multiple Regression'!$B$18*H254+'6. Multiple Regression'!$B$19*I254+'6. Multiple Regression'!$B$20*J254+'6. Multiple Regression'!$B$21*K254</f>
        <v>659957.185917788</v>
      </c>
      <c r="N254" s="8" t="n">
        <f aca="false">L254-M254</f>
        <v>-17205.7659177879</v>
      </c>
      <c r="O254" s="8" t="n">
        <f aca="false">ABS(N254)</f>
        <v>17205.7659177879</v>
      </c>
      <c r="P254" s="22" t="n">
        <f aca="false">N254/L254</f>
        <v>-0.0267689271192709</v>
      </c>
    </row>
    <row r="255" customFormat="false" ht="15" hidden="false" customHeight="false" outlineLevel="0" collapsed="false">
      <c r="A255" s="4" t="s">
        <v>90</v>
      </c>
      <c r="B255" s="4" t="s">
        <v>21</v>
      </c>
      <c r="C255" s="4" t="s">
        <v>26</v>
      </c>
      <c r="D255" s="4" t="s">
        <v>24</v>
      </c>
      <c r="E255" s="4" t="n">
        <v>6322</v>
      </c>
      <c r="F255" s="5" t="n">
        <v>38361.93</v>
      </c>
      <c r="G255" s="19" t="n">
        <v>0.273</v>
      </c>
      <c r="H255" s="4" t="n">
        <v>88.4</v>
      </c>
      <c r="I255" s="4" t="n">
        <v>0</v>
      </c>
      <c r="J255" s="4" t="n">
        <v>0</v>
      </c>
      <c r="K255" s="4" t="n">
        <v>0</v>
      </c>
      <c r="L255" s="5" t="n">
        <v>647953.78</v>
      </c>
      <c r="M255" s="5" t="n">
        <f aca="false">'6. Multiple Regression'!$B$14+'6. Multiple Regression'!$B$15*E255+'6. Multiple Regression'!$B$16*F255+'6. Multiple Regression'!$B$17*G255+'6. Multiple Regression'!$B$18*H255+'6. Multiple Regression'!$B$19*I255+'6. Multiple Regression'!$B$20*J255+'6. Multiple Regression'!$B$21*K255</f>
        <v>643670.896226689</v>
      </c>
      <c r="N255" s="5" t="n">
        <f aca="false">L255-M255</f>
        <v>4282.88377331104</v>
      </c>
      <c r="O255" s="5" t="n">
        <f aca="false">ABS(N255)</f>
        <v>4282.88377331104</v>
      </c>
      <c r="P255" s="20" t="n">
        <f aca="false">N255/L255</f>
        <v>0.00660986000160542</v>
      </c>
    </row>
    <row r="256" customFormat="false" ht="15" hidden="false" customHeight="false" outlineLevel="0" collapsed="false">
      <c r="A256" s="7" t="s">
        <v>90</v>
      </c>
      <c r="B256" s="7" t="s">
        <v>22</v>
      </c>
      <c r="C256" s="7" t="s">
        <v>26</v>
      </c>
      <c r="D256" s="7" t="s">
        <v>24</v>
      </c>
      <c r="E256" s="7" t="n">
        <v>6840</v>
      </c>
      <c r="F256" s="8" t="n">
        <v>97480.94</v>
      </c>
      <c r="G256" s="21" t="n">
        <v>0.087</v>
      </c>
      <c r="H256" s="7" t="n">
        <v>79.2</v>
      </c>
      <c r="I256" s="7" t="n">
        <v>0</v>
      </c>
      <c r="J256" s="7" t="n">
        <v>0</v>
      </c>
      <c r="K256" s="7" t="n">
        <v>0</v>
      </c>
      <c r="L256" s="8" t="n">
        <v>729440.45</v>
      </c>
      <c r="M256" s="8" t="n">
        <f aca="false">'6. Multiple Regression'!$B$14+'6. Multiple Regression'!$B$15*E256+'6. Multiple Regression'!$B$16*F256+'6. Multiple Regression'!$B$17*G256+'6. Multiple Regression'!$B$18*H256+'6. Multiple Regression'!$B$19*I256+'6. Multiple Regression'!$B$20*J256+'6. Multiple Regression'!$B$21*K256</f>
        <v>713360.119942901</v>
      </c>
      <c r="N256" s="8" t="n">
        <f aca="false">L256-M256</f>
        <v>16080.3300570989</v>
      </c>
      <c r="O256" s="8" t="n">
        <f aca="false">ABS(N256)</f>
        <v>16080.3300570989</v>
      </c>
      <c r="P256" s="22" t="n">
        <f aca="false">N256/L256</f>
        <v>0.0220447468427325</v>
      </c>
    </row>
    <row r="257" customFormat="false" ht="15" hidden="false" customHeight="false" outlineLevel="0" collapsed="false">
      <c r="A257" s="4" t="s">
        <v>91</v>
      </c>
      <c r="B257" s="4" t="s">
        <v>17</v>
      </c>
      <c r="C257" s="4" t="s">
        <v>30</v>
      </c>
      <c r="D257" s="4" t="s">
        <v>27</v>
      </c>
      <c r="E257" s="4" t="n">
        <v>6782</v>
      </c>
      <c r="F257" s="5" t="n">
        <v>81801.8</v>
      </c>
      <c r="G257" s="19" t="n">
        <v>0.05</v>
      </c>
      <c r="H257" s="4" t="n">
        <v>99</v>
      </c>
      <c r="I257" s="4" t="n">
        <v>1</v>
      </c>
      <c r="J257" s="4" t="n">
        <v>0</v>
      </c>
      <c r="K257" s="4" t="n">
        <v>0</v>
      </c>
      <c r="L257" s="5" t="n">
        <v>764949</v>
      </c>
      <c r="M257" s="5" t="n">
        <f aca="false">'6. Multiple Regression'!$B$14+'6. Multiple Regression'!$B$15*E257+'6. Multiple Regression'!$B$16*F257+'6. Multiple Regression'!$B$17*G257+'6. Multiple Regression'!$B$18*H257+'6. Multiple Regression'!$B$19*I257+'6. Multiple Regression'!$B$20*J257+'6. Multiple Regression'!$B$21*K257</f>
        <v>776643.11590455</v>
      </c>
      <c r="N257" s="5" t="n">
        <f aca="false">L257-M257</f>
        <v>-11694.1159045501</v>
      </c>
      <c r="O257" s="5" t="n">
        <f aca="false">ABS(N257)</f>
        <v>11694.1159045501</v>
      </c>
      <c r="P257" s="20" t="n">
        <f aca="false">N257/L257</f>
        <v>-0.0152874451820318</v>
      </c>
    </row>
    <row r="258" customFormat="false" ht="15" hidden="false" customHeight="false" outlineLevel="0" collapsed="false">
      <c r="A258" s="7" t="s">
        <v>91</v>
      </c>
      <c r="B258" s="7" t="s">
        <v>20</v>
      </c>
      <c r="C258" s="7" t="s">
        <v>30</v>
      </c>
      <c r="D258" s="7" t="s">
        <v>27</v>
      </c>
      <c r="E258" s="7" t="n">
        <v>6856</v>
      </c>
      <c r="F258" s="8" t="n">
        <v>63582.11</v>
      </c>
      <c r="G258" s="21" t="n">
        <v>0.074</v>
      </c>
      <c r="H258" s="7" t="n">
        <v>89.5</v>
      </c>
      <c r="I258" s="7" t="n">
        <v>1</v>
      </c>
      <c r="J258" s="7" t="n">
        <v>0</v>
      </c>
      <c r="K258" s="7" t="n">
        <v>0</v>
      </c>
      <c r="L258" s="8" t="n">
        <v>799046.94</v>
      </c>
      <c r="M258" s="8" t="n">
        <f aca="false">'6. Multiple Regression'!$B$14+'6. Multiple Regression'!$B$15*E258+'6. Multiple Regression'!$B$16*F258+'6. Multiple Regression'!$B$17*G258+'6. Multiple Regression'!$B$18*H258+'6. Multiple Regression'!$B$19*I258+'6. Multiple Regression'!$B$20*J258+'6. Multiple Regression'!$B$21*K258</f>
        <v>727973.902153392</v>
      </c>
      <c r="N258" s="8" t="n">
        <f aca="false">L258-M258</f>
        <v>71073.037846608</v>
      </c>
      <c r="O258" s="8" t="n">
        <f aca="false">ABS(N258)</f>
        <v>71073.037846608</v>
      </c>
      <c r="P258" s="22" t="n">
        <f aca="false">N258/L258</f>
        <v>0.0889472624056454</v>
      </c>
    </row>
    <row r="259" customFormat="false" ht="15" hidden="false" customHeight="false" outlineLevel="0" collapsed="false">
      <c r="A259" s="4" t="s">
        <v>91</v>
      </c>
      <c r="B259" s="4" t="s">
        <v>21</v>
      </c>
      <c r="C259" s="4" t="s">
        <v>30</v>
      </c>
      <c r="D259" s="4" t="s">
        <v>27</v>
      </c>
      <c r="E259" s="4" t="n">
        <v>5641</v>
      </c>
      <c r="F259" s="5" t="n">
        <v>75412.74</v>
      </c>
      <c r="G259" s="19" t="n">
        <v>0.059</v>
      </c>
      <c r="H259" s="4" t="n">
        <v>87.9</v>
      </c>
      <c r="I259" s="4" t="n">
        <v>1</v>
      </c>
      <c r="J259" s="4" t="n">
        <v>0</v>
      </c>
      <c r="K259" s="4" t="n">
        <v>0</v>
      </c>
      <c r="L259" s="5" t="n">
        <v>720079.54</v>
      </c>
      <c r="M259" s="5" t="n">
        <f aca="false">'6. Multiple Regression'!$B$14+'6. Multiple Regression'!$B$15*E259+'6. Multiple Regression'!$B$16*F259+'6. Multiple Regression'!$B$17*G259+'6. Multiple Regression'!$B$18*H259+'6. Multiple Regression'!$B$19*I259+'6. Multiple Regression'!$B$20*J259+'6. Multiple Regression'!$B$21*K259</f>
        <v>696942.065505037</v>
      </c>
      <c r="N259" s="5" t="n">
        <f aca="false">L259-M259</f>
        <v>23137.474494963</v>
      </c>
      <c r="O259" s="5" t="n">
        <f aca="false">ABS(N259)</f>
        <v>23137.474494963</v>
      </c>
      <c r="P259" s="20" t="n">
        <f aca="false">N259/L259</f>
        <v>0.0321318315681667</v>
      </c>
    </row>
    <row r="260" customFormat="false" ht="15" hidden="false" customHeight="false" outlineLevel="0" collapsed="false">
      <c r="A260" s="7" t="s">
        <v>91</v>
      </c>
      <c r="B260" s="7" t="s">
        <v>22</v>
      </c>
      <c r="C260" s="7" t="s">
        <v>30</v>
      </c>
      <c r="D260" s="7" t="s">
        <v>27</v>
      </c>
      <c r="E260" s="7" t="n">
        <v>5787</v>
      </c>
      <c r="F260" s="8" t="n">
        <v>36290.08</v>
      </c>
      <c r="G260" s="21" t="n">
        <v>0</v>
      </c>
      <c r="H260" s="7" t="n">
        <v>88.3</v>
      </c>
      <c r="I260" s="7" t="n">
        <v>1</v>
      </c>
      <c r="J260" s="7" t="n">
        <v>0</v>
      </c>
      <c r="K260" s="7" t="n">
        <v>0</v>
      </c>
      <c r="L260" s="8" t="n">
        <v>612390.14</v>
      </c>
      <c r="M260" s="8" t="n">
        <f aca="false">'6. Multiple Regression'!$B$14+'6. Multiple Regression'!$B$15*E260+'6. Multiple Regression'!$B$16*F260+'6. Multiple Regression'!$B$17*G260+'6. Multiple Regression'!$B$18*H260+'6. Multiple Regression'!$B$19*I260+'6. Multiple Regression'!$B$20*J260+'6. Multiple Regression'!$B$21*K260</f>
        <v>660936.68815494</v>
      </c>
      <c r="N260" s="8" t="n">
        <f aca="false">L260-M260</f>
        <v>-48546.5481549399</v>
      </c>
      <c r="O260" s="8" t="n">
        <f aca="false">ABS(N260)</f>
        <v>48546.5481549399</v>
      </c>
      <c r="P260" s="22" t="n">
        <f aca="false">N260/L260</f>
        <v>-0.0792738892806796</v>
      </c>
    </row>
    <row r="261" customFormat="false" ht="15" hidden="false" customHeight="false" outlineLevel="0" collapsed="false">
      <c r="A261" s="4" t="s">
        <v>92</v>
      </c>
      <c r="B261" s="4" t="s">
        <v>17</v>
      </c>
      <c r="C261" s="4" t="s">
        <v>30</v>
      </c>
      <c r="D261" s="4" t="s">
        <v>34</v>
      </c>
      <c r="E261" s="4" t="n">
        <v>8165</v>
      </c>
      <c r="F261" s="5" t="n">
        <v>65272.58</v>
      </c>
      <c r="G261" s="19" t="n">
        <v>0.051</v>
      </c>
      <c r="H261" s="4" t="n">
        <v>87.8</v>
      </c>
      <c r="I261" s="4" t="n">
        <v>0</v>
      </c>
      <c r="J261" s="4" t="n">
        <v>1</v>
      </c>
      <c r="K261" s="4" t="n">
        <v>0</v>
      </c>
      <c r="L261" s="5" t="n">
        <v>840108.12</v>
      </c>
      <c r="M261" s="5" t="n">
        <f aca="false">'6. Multiple Regression'!$B$14+'6. Multiple Regression'!$B$15*E261+'6. Multiple Regression'!$B$16*F261+'6. Multiple Regression'!$B$17*G261+'6. Multiple Regression'!$B$18*H261+'6. Multiple Regression'!$B$19*I261+'6. Multiple Regression'!$B$20*J261+'6. Multiple Regression'!$B$21*K261</f>
        <v>759791.734295153</v>
      </c>
      <c r="N261" s="5" t="n">
        <f aca="false">L261-M261</f>
        <v>80316.3857048469</v>
      </c>
      <c r="O261" s="5" t="n">
        <f aca="false">ABS(N261)</f>
        <v>80316.3857048469</v>
      </c>
      <c r="P261" s="20" t="n">
        <f aca="false">N261/L261</f>
        <v>0.0956024394870114</v>
      </c>
    </row>
    <row r="262" customFormat="false" ht="15" hidden="false" customHeight="false" outlineLevel="0" collapsed="false">
      <c r="A262" s="7" t="s">
        <v>92</v>
      </c>
      <c r="B262" s="7" t="s">
        <v>20</v>
      </c>
      <c r="C262" s="7" t="s">
        <v>30</v>
      </c>
      <c r="D262" s="7" t="s">
        <v>34</v>
      </c>
      <c r="E262" s="7" t="n">
        <v>7574</v>
      </c>
      <c r="F262" s="8" t="n">
        <v>28670.43</v>
      </c>
      <c r="G262" s="21" t="n">
        <v>0.114</v>
      </c>
      <c r="H262" s="7" t="n">
        <v>82.7</v>
      </c>
      <c r="I262" s="7" t="n">
        <v>0</v>
      </c>
      <c r="J262" s="7" t="n">
        <v>1</v>
      </c>
      <c r="K262" s="7" t="n">
        <v>0</v>
      </c>
      <c r="L262" s="8" t="n">
        <v>697888.09</v>
      </c>
      <c r="M262" s="8" t="n">
        <f aca="false">'6. Multiple Regression'!$B$14+'6. Multiple Regression'!$B$15*E262+'6. Multiple Regression'!$B$16*F262+'6. Multiple Regression'!$B$17*G262+'6. Multiple Regression'!$B$18*H262+'6. Multiple Regression'!$B$19*I262+'6. Multiple Regression'!$B$20*J262+'6. Multiple Regression'!$B$21*K262</f>
        <v>678218.412397672</v>
      </c>
      <c r="N262" s="8" t="n">
        <f aca="false">L262-M262</f>
        <v>19669.677602328</v>
      </c>
      <c r="O262" s="8" t="n">
        <f aca="false">ABS(N262)</f>
        <v>19669.677602328</v>
      </c>
      <c r="P262" s="22" t="n">
        <f aca="false">N262/L262</f>
        <v>0.0281845726903407</v>
      </c>
    </row>
    <row r="263" customFormat="false" ht="15" hidden="false" customHeight="false" outlineLevel="0" collapsed="false">
      <c r="A263" s="4" t="s">
        <v>92</v>
      </c>
      <c r="B263" s="4" t="s">
        <v>21</v>
      </c>
      <c r="C263" s="4" t="s">
        <v>30</v>
      </c>
      <c r="D263" s="4" t="s">
        <v>34</v>
      </c>
      <c r="E263" s="4" t="n">
        <v>8634</v>
      </c>
      <c r="F263" s="5" t="n">
        <v>44189.34</v>
      </c>
      <c r="G263" s="19" t="n">
        <v>0.143</v>
      </c>
      <c r="H263" s="4" t="n">
        <v>87.5</v>
      </c>
      <c r="I263" s="4" t="n">
        <v>0</v>
      </c>
      <c r="J263" s="4" t="n">
        <v>1</v>
      </c>
      <c r="K263" s="4" t="n">
        <v>0</v>
      </c>
      <c r="L263" s="5" t="n">
        <v>746115.59</v>
      </c>
      <c r="M263" s="5" t="n">
        <f aca="false">'6. Multiple Regression'!$B$14+'6. Multiple Regression'!$B$15*E263+'6. Multiple Regression'!$B$16*F263+'6. Multiple Regression'!$B$17*G263+'6. Multiple Regression'!$B$18*H263+'6. Multiple Regression'!$B$19*I263+'6. Multiple Regression'!$B$20*J263+'6. Multiple Regression'!$B$21*K263</f>
        <v>744686.898653129</v>
      </c>
      <c r="N263" s="5" t="n">
        <f aca="false">L263-M263</f>
        <v>1428.69134687097</v>
      </c>
      <c r="O263" s="5" t="n">
        <f aca="false">ABS(N263)</f>
        <v>1428.69134687097</v>
      </c>
      <c r="P263" s="20" t="n">
        <f aca="false">N263/L263</f>
        <v>0.00191483915631755</v>
      </c>
    </row>
    <row r="264" customFormat="false" ht="15" hidden="false" customHeight="false" outlineLevel="0" collapsed="false">
      <c r="A264" s="7" t="s">
        <v>92</v>
      </c>
      <c r="B264" s="7" t="s">
        <v>22</v>
      </c>
      <c r="C264" s="7" t="s">
        <v>30</v>
      </c>
      <c r="D264" s="7" t="s">
        <v>34</v>
      </c>
      <c r="E264" s="7" t="n">
        <v>7836</v>
      </c>
      <c r="F264" s="8" t="n">
        <v>38397.82</v>
      </c>
      <c r="G264" s="21" t="n">
        <v>0.007</v>
      </c>
      <c r="H264" s="7" t="n">
        <v>92.2</v>
      </c>
      <c r="I264" s="7" t="n">
        <v>0</v>
      </c>
      <c r="J264" s="7" t="n">
        <v>1</v>
      </c>
      <c r="K264" s="7" t="n">
        <v>0</v>
      </c>
      <c r="L264" s="8" t="n">
        <v>776110.32</v>
      </c>
      <c r="M264" s="8" t="n">
        <f aca="false">'6. Multiple Regression'!$B$14+'6. Multiple Regression'!$B$15*E264+'6. Multiple Regression'!$B$16*F264+'6. Multiple Regression'!$B$17*G264+'6. Multiple Regression'!$B$18*H264+'6. Multiple Regression'!$B$19*I264+'6. Multiple Regression'!$B$20*J264+'6. Multiple Regression'!$B$21*K264</f>
        <v>733191.577000701</v>
      </c>
      <c r="N264" s="8" t="n">
        <f aca="false">L264-M264</f>
        <v>42918.742999299</v>
      </c>
      <c r="O264" s="8" t="n">
        <f aca="false">ABS(N264)</f>
        <v>42918.742999299</v>
      </c>
      <c r="P264" s="22" t="n">
        <f aca="false">N264/L264</f>
        <v>0.0552997968114881</v>
      </c>
    </row>
    <row r="265" customFormat="false" ht="15" hidden="false" customHeight="false" outlineLevel="0" collapsed="false">
      <c r="A265" s="4" t="s">
        <v>93</v>
      </c>
      <c r="B265" s="4" t="s">
        <v>17</v>
      </c>
      <c r="C265" s="4" t="s">
        <v>33</v>
      </c>
      <c r="D265" s="4" t="s">
        <v>24</v>
      </c>
      <c r="E265" s="4" t="n">
        <v>3047</v>
      </c>
      <c r="F265" s="5" t="n">
        <v>14519.37</v>
      </c>
      <c r="G265" s="19" t="n">
        <v>0.135</v>
      </c>
      <c r="H265" s="4" t="n">
        <v>90.3</v>
      </c>
      <c r="I265" s="4" t="n">
        <v>0</v>
      </c>
      <c r="J265" s="4" t="n">
        <v>0</v>
      </c>
      <c r="K265" s="4" t="n">
        <v>0</v>
      </c>
      <c r="L265" s="5" t="n">
        <v>528852.62</v>
      </c>
      <c r="M265" s="5" t="n">
        <f aca="false">'6. Multiple Regression'!$B$14+'6. Multiple Regression'!$B$15*E265+'6. Multiple Regression'!$B$16*F265+'6. Multiple Regression'!$B$17*G265+'6. Multiple Regression'!$B$18*H265+'6. Multiple Regression'!$B$19*I265+'6. Multiple Regression'!$B$20*J265+'6. Multiple Regression'!$B$21*K265</f>
        <v>519464.976266415</v>
      </c>
      <c r="N265" s="5" t="n">
        <f aca="false">L265-M265</f>
        <v>9387.64373358502</v>
      </c>
      <c r="O265" s="5" t="n">
        <f aca="false">ABS(N265)</f>
        <v>9387.64373358502</v>
      </c>
      <c r="P265" s="20" t="n">
        <f aca="false">N265/L265</f>
        <v>0.0177509638386305</v>
      </c>
    </row>
    <row r="266" customFormat="false" ht="15" hidden="false" customHeight="false" outlineLevel="0" collapsed="false">
      <c r="A266" s="7" t="s">
        <v>93</v>
      </c>
      <c r="B266" s="7" t="s">
        <v>20</v>
      </c>
      <c r="C266" s="7" t="s">
        <v>33</v>
      </c>
      <c r="D266" s="7" t="s">
        <v>24</v>
      </c>
      <c r="E266" s="7" t="n">
        <v>4783</v>
      </c>
      <c r="F266" s="8" t="n">
        <v>43288.2</v>
      </c>
      <c r="G266" s="21" t="n">
        <v>0.169</v>
      </c>
      <c r="H266" s="7" t="n">
        <v>87.3</v>
      </c>
      <c r="I266" s="7" t="n">
        <v>0</v>
      </c>
      <c r="J266" s="7" t="n">
        <v>0</v>
      </c>
      <c r="K266" s="7" t="n">
        <v>0</v>
      </c>
      <c r="L266" s="8" t="n">
        <v>605751.33</v>
      </c>
      <c r="M266" s="8" t="n">
        <f aca="false">'6. Multiple Regression'!$B$14+'6. Multiple Regression'!$B$15*E266+'6. Multiple Regression'!$B$16*F266+'6. Multiple Regression'!$B$17*G266+'6. Multiple Regression'!$B$18*H266+'6. Multiple Regression'!$B$19*I266+'6. Multiple Regression'!$B$20*J266+'6. Multiple Regression'!$B$21*K266</f>
        <v>600429.358778747</v>
      </c>
      <c r="N266" s="8" t="n">
        <f aca="false">L266-M266</f>
        <v>5321.97122125304</v>
      </c>
      <c r="O266" s="8" t="n">
        <f aca="false">ABS(N266)</f>
        <v>5321.97122125304</v>
      </c>
      <c r="P266" s="22" t="n">
        <f aca="false">N266/L266</f>
        <v>0.00878573592443131</v>
      </c>
    </row>
    <row r="267" customFormat="false" ht="15" hidden="false" customHeight="false" outlineLevel="0" collapsed="false">
      <c r="A267" s="4" t="s">
        <v>93</v>
      </c>
      <c r="B267" s="4" t="s">
        <v>21</v>
      </c>
      <c r="C267" s="4" t="s">
        <v>33</v>
      </c>
      <c r="D267" s="4" t="s">
        <v>24</v>
      </c>
      <c r="E267" s="4" t="n">
        <v>4902</v>
      </c>
      <c r="F267" s="5" t="n">
        <v>51450.55</v>
      </c>
      <c r="G267" s="19" t="n">
        <v>0.086</v>
      </c>
      <c r="H267" s="4" t="n">
        <v>83.7</v>
      </c>
      <c r="I267" s="4" t="n">
        <v>0</v>
      </c>
      <c r="J267" s="4" t="n">
        <v>0</v>
      </c>
      <c r="K267" s="4" t="n">
        <v>0</v>
      </c>
      <c r="L267" s="5" t="n">
        <v>677640.65</v>
      </c>
      <c r="M267" s="5" t="n">
        <f aca="false">'6. Multiple Regression'!$B$14+'6. Multiple Regression'!$B$15*E267+'6. Multiple Regression'!$B$16*F267+'6. Multiple Regression'!$B$17*G267+'6. Multiple Regression'!$B$18*H267+'6. Multiple Regression'!$B$19*I267+'6. Multiple Regression'!$B$20*J267+'6. Multiple Regression'!$B$21*K267</f>
        <v>608034.707200068</v>
      </c>
      <c r="N267" s="5" t="n">
        <f aca="false">L267-M267</f>
        <v>69605.9427999321</v>
      </c>
      <c r="O267" s="5" t="n">
        <f aca="false">ABS(N267)</f>
        <v>69605.9427999321</v>
      </c>
      <c r="P267" s="20" t="n">
        <f aca="false">N267/L267</f>
        <v>0.102718074542801</v>
      </c>
    </row>
    <row r="268" customFormat="false" ht="15" hidden="false" customHeight="false" outlineLevel="0" collapsed="false">
      <c r="A268" s="7" t="s">
        <v>93</v>
      </c>
      <c r="B268" s="7" t="s">
        <v>22</v>
      </c>
      <c r="C268" s="7" t="s">
        <v>33</v>
      </c>
      <c r="D268" s="7" t="s">
        <v>24</v>
      </c>
      <c r="E268" s="7" t="n">
        <v>4022</v>
      </c>
      <c r="F268" s="8" t="n">
        <v>58688.26</v>
      </c>
      <c r="G268" s="21" t="n">
        <v>0.217</v>
      </c>
      <c r="H268" s="7" t="n">
        <v>93.8</v>
      </c>
      <c r="I268" s="7" t="n">
        <v>0</v>
      </c>
      <c r="J268" s="7" t="n">
        <v>0</v>
      </c>
      <c r="K268" s="7" t="n">
        <v>0</v>
      </c>
      <c r="L268" s="8" t="n">
        <v>636613.23</v>
      </c>
      <c r="M268" s="8" t="n">
        <f aca="false">'6. Multiple Regression'!$B$14+'6. Multiple Regression'!$B$15*E268+'6. Multiple Regression'!$B$16*F268+'6. Multiple Regression'!$B$17*G268+'6. Multiple Regression'!$B$18*H268+'6. Multiple Regression'!$B$19*I268+'6. Multiple Regression'!$B$20*J268+'6. Multiple Regression'!$B$21*K268</f>
        <v>609438.982052851</v>
      </c>
      <c r="N268" s="8" t="n">
        <f aca="false">L268-M268</f>
        <v>27174.247947149</v>
      </c>
      <c r="O268" s="8" t="n">
        <f aca="false">ABS(N268)</f>
        <v>27174.247947149</v>
      </c>
      <c r="P268" s="22" t="n">
        <f aca="false">N268/L268</f>
        <v>0.0426856475275404</v>
      </c>
    </row>
    <row r="269" customFormat="false" ht="15" hidden="false" customHeight="false" outlineLevel="0" collapsed="false">
      <c r="A269" s="4" t="s">
        <v>94</v>
      </c>
      <c r="B269" s="4" t="s">
        <v>17</v>
      </c>
      <c r="C269" s="4" t="s">
        <v>18</v>
      </c>
      <c r="D269" s="4" t="s">
        <v>24</v>
      </c>
      <c r="E269" s="4" t="n">
        <v>7324</v>
      </c>
      <c r="F269" s="5" t="n">
        <v>58981.91</v>
      </c>
      <c r="G269" s="19" t="n">
        <v>0.094</v>
      </c>
      <c r="H269" s="4" t="n">
        <v>95.8</v>
      </c>
      <c r="I269" s="4" t="n">
        <v>0</v>
      </c>
      <c r="J269" s="4" t="n">
        <v>0</v>
      </c>
      <c r="K269" s="4" t="n">
        <v>0</v>
      </c>
      <c r="L269" s="5" t="n">
        <v>708985.19</v>
      </c>
      <c r="M269" s="5" t="n">
        <f aca="false">'6. Multiple Regression'!$B$14+'6. Multiple Regression'!$B$15*E269+'6. Multiple Regression'!$B$16*F269+'6. Multiple Regression'!$B$17*G269+'6. Multiple Regression'!$B$18*H269+'6. Multiple Regression'!$B$19*I269+'6. Multiple Regression'!$B$20*J269+'6. Multiple Regression'!$B$21*K269</f>
        <v>734190.745045552</v>
      </c>
      <c r="N269" s="5" t="n">
        <f aca="false">L269-M269</f>
        <v>-25205.555045552</v>
      </c>
      <c r="O269" s="5" t="n">
        <f aca="false">ABS(N269)</f>
        <v>25205.555045552</v>
      </c>
      <c r="P269" s="20" t="n">
        <f aca="false">N269/L269</f>
        <v>-0.0355515960009714</v>
      </c>
    </row>
    <row r="270" customFormat="false" ht="15" hidden="false" customHeight="false" outlineLevel="0" collapsed="false">
      <c r="A270" s="7" t="s">
        <v>94</v>
      </c>
      <c r="B270" s="7" t="s">
        <v>20</v>
      </c>
      <c r="C270" s="7" t="s">
        <v>18</v>
      </c>
      <c r="D270" s="7" t="s">
        <v>24</v>
      </c>
      <c r="E270" s="7" t="n">
        <v>8129</v>
      </c>
      <c r="F270" s="8" t="n">
        <v>73454.54</v>
      </c>
      <c r="G270" s="21" t="n">
        <v>0.211</v>
      </c>
      <c r="H270" s="7" t="n">
        <v>85.2</v>
      </c>
      <c r="I270" s="7" t="n">
        <v>0</v>
      </c>
      <c r="J270" s="7" t="n">
        <v>0</v>
      </c>
      <c r="K270" s="7" t="n">
        <v>0</v>
      </c>
      <c r="L270" s="8" t="n">
        <v>767792.94</v>
      </c>
      <c r="M270" s="8" t="n">
        <f aca="false">'6. Multiple Regression'!$B$14+'6. Multiple Regression'!$B$15*E270+'6. Multiple Regression'!$B$16*F270+'6. Multiple Regression'!$B$17*G270+'6. Multiple Regression'!$B$18*H270+'6. Multiple Regression'!$B$19*I270+'6. Multiple Regression'!$B$20*J270+'6. Multiple Regression'!$B$21*K270</f>
        <v>739451.931142513</v>
      </c>
      <c r="N270" s="8" t="n">
        <f aca="false">L270-M270</f>
        <v>28341.0088574869</v>
      </c>
      <c r="O270" s="8" t="n">
        <f aca="false">ABS(N270)</f>
        <v>28341.0088574869</v>
      </c>
      <c r="P270" s="22" t="n">
        <f aca="false">N270/L270</f>
        <v>0.0369123071872566</v>
      </c>
    </row>
    <row r="271" customFormat="false" ht="15" hidden="false" customHeight="false" outlineLevel="0" collapsed="false">
      <c r="A271" s="4" t="s">
        <v>94</v>
      </c>
      <c r="B271" s="4" t="s">
        <v>21</v>
      </c>
      <c r="C271" s="4" t="s">
        <v>18</v>
      </c>
      <c r="D271" s="4" t="s">
        <v>24</v>
      </c>
      <c r="E271" s="4" t="n">
        <v>7969</v>
      </c>
      <c r="F271" s="5" t="n">
        <v>56602.39</v>
      </c>
      <c r="G271" s="19" t="n">
        <v>0.17</v>
      </c>
      <c r="H271" s="4" t="n">
        <v>88.3</v>
      </c>
      <c r="I271" s="4" t="n">
        <v>0</v>
      </c>
      <c r="J271" s="4" t="n">
        <v>0</v>
      </c>
      <c r="K271" s="4" t="n">
        <v>0</v>
      </c>
      <c r="L271" s="5" t="n">
        <v>745580.51</v>
      </c>
      <c r="M271" s="5" t="n">
        <f aca="false">'6. Multiple Regression'!$B$14+'6. Multiple Regression'!$B$15*E271+'6. Multiple Regression'!$B$16*F271+'6. Multiple Regression'!$B$17*G271+'6. Multiple Regression'!$B$18*H271+'6. Multiple Regression'!$B$19*I271+'6. Multiple Regression'!$B$20*J271+'6. Multiple Regression'!$B$21*K271</f>
        <v>726144.02325248</v>
      </c>
      <c r="N271" s="5" t="n">
        <f aca="false">L271-M271</f>
        <v>19436.48674752</v>
      </c>
      <c r="O271" s="5" t="n">
        <f aca="false">ABS(N271)</f>
        <v>19436.48674752</v>
      </c>
      <c r="P271" s="20" t="n">
        <f aca="false">N271/L271</f>
        <v>0.0260689308355446</v>
      </c>
    </row>
    <row r="272" customFormat="false" ht="15" hidden="false" customHeight="false" outlineLevel="0" collapsed="false">
      <c r="A272" s="7" t="s">
        <v>94</v>
      </c>
      <c r="B272" s="7" t="s">
        <v>22</v>
      </c>
      <c r="C272" s="7" t="s">
        <v>18</v>
      </c>
      <c r="D272" s="7" t="s">
        <v>24</v>
      </c>
      <c r="E272" s="7" t="n">
        <v>7240</v>
      </c>
      <c r="F272" s="8" t="n">
        <v>67722.29</v>
      </c>
      <c r="G272" s="21" t="n">
        <v>0.026</v>
      </c>
      <c r="H272" s="7" t="n">
        <v>92.9</v>
      </c>
      <c r="I272" s="7" t="n">
        <v>0</v>
      </c>
      <c r="J272" s="7" t="n">
        <v>0</v>
      </c>
      <c r="K272" s="7" t="n">
        <v>0</v>
      </c>
      <c r="L272" s="8" t="n">
        <v>762328.31</v>
      </c>
      <c r="M272" s="8" t="n">
        <f aca="false">'6. Multiple Regression'!$B$14+'6. Multiple Regression'!$B$15*E272+'6. Multiple Regression'!$B$16*F272+'6. Multiple Regression'!$B$17*G272+'6. Multiple Regression'!$B$18*H272+'6. Multiple Regression'!$B$19*I272+'6. Multiple Regression'!$B$20*J272+'6. Multiple Regression'!$B$21*K272</f>
        <v>736852.934060108</v>
      </c>
      <c r="N272" s="8" t="n">
        <f aca="false">L272-M272</f>
        <v>25475.375939892</v>
      </c>
      <c r="O272" s="8" t="n">
        <f aca="false">ABS(N272)</f>
        <v>25475.375939892</v>
      </c>
      <c r="P272" s="22" t="n">
        <f aca="false">N272/L272</f>
        <v>0.0334178537064851</v>
      </c>
    </row>
    <row r="273" customFormat="false" ht="15" hidden="false" customHeight="false" outlineLevel="0" collapsed="false">
      <c r="A273" s="4" t="s">
        <v>95</v>
      </c>
      <c r="B273" s="4" t="s">
        <v>17</v>
      </c>
      <c r="C273" s="4" t="s">
        <v>18</v>
      </c>
      <c r="D273" s="4" t="s">
        <v>34</v>
      </c>
      <c r="E273" s="4" t="n">
        <v>8052</v>
      </c>
      <c r="F273" s="5" t="n">
        <v>48752.92</v>
      </c>
      <c r="G273" s="19" t="n">
        <v>0.106</v>
      </c>
      <c r="H273" s="4" t="n">
        <v>94.9</v>
      </c>
      <c r="I273" s="4" t="n">
        <v>0</v>
      </c>
      <c r="J273" s="4" t="n">
        <v>1</v>
      </c>
      <c r="K273" s="4" t="n">
        <v>0</v>
      </c>
      <c r="L273" s="5" t="n">
        <v>660633.99</v>
      </c>
      <c r="M273" s="5" t="n">
        <f aca="false">'6. Multiple Regression'!$B$14+'6. Multiple Regression'!$B$15*E273+'6. Multiple Regression'!$B$16*F273+'6. Multiple Regression'!$B$17*G273+'6. Multiple Regression'!$B$18*H273+'6. Multiple Regression'!$B$19*I273+'6. Multiple Regression'!$B$20*J273+'6. Multiple Regression'!$B$21*K273</f>
        <v>754801.953561738</v>
      </c>
      <c r="N273" s="5" t="n">
        <f aca="false">L273-M273</f>
        <v>-94167.963561738</v>
      </c>
      <c r="O273" s="5" t="n">
        <f aca="false">ABS(N273)</f>
        <v>94167.963561738</v>
      </c>
      <c r="P273" s="20" t="n">
        <f aca="false">N273/L273</f>
        <v>-0.142541808304078</v>
      </c>
    </row>
    <row r="274" customFormat="false" ht="15" hidden="false" customHeight="false" outlineLevel="0" collapsed="false">
      <c r="A274" s="7" t="s">
        <v>95</v>
      </c>
      <c r="B274" s="7" t="s">
        <v>20</v>
      </c>
      <c r="C274" s="7" t="s">
        <v>18</v>
      </c>
      <c r="D274" s="7" t="s">
        <v>34</v>
      </c>
      <c r="E274" s="7" t="n">
        <v>8018</v>
      </c>
      <c r="F274" s="8" t="n">
        <v>23914.97</v>
      </c>
      <c r="G274" s="21" t="n">
        <v>0.139</v>
      </c>
      <c r="H274" s="7" t="n">
        <v>89</v>
      </c>
      <c r="I274" s="7" t="n">
        <v>0</v>
      </c>
      <c r="J274" s="7" t="n">
        <v>1</v>
      </c>
      <c r="K274" s="7" t="n">
        <v>0</v>
      </c>
      <c r="L274" s="8" t="n">
        <v>739374.56</v>
      </c>
      <c r="M274" s="8" t="n">
        <f aca="false">'6. Multiple Regression'!$B$14+'6. Multiple Regression'!$B$15*E274+'6. Multiple Regression'!$B$16*F274+'6. Multiple Regression'!$B$17*G274+'6. Multiple Regression'!$B$18*H274+'6. Multiple Regression'!$B$19*I274+'6. Multiple Regression'!$B$20*J274+'6. Multiple Regression'!$B$21*K274</f>
        <v>705057.465643967</v>
      </c>
      <c r="N274" s="8" t="n">
        <f aca="false">L274-M274</f>
        <v>34317.094356033</v>
      </c>
      <c r="O274" s="8" t="n">
        <f aca="false">ABS(N274)</f>
        <v>34317.094356033</v>
      </c>
      <c r="P274" s="22" t="n">
        <f aca="false">N274/L274</f>
        <v>0.0464136801731899</v>
      </c>
    </row>
    <row r="275" customFormat="false" ht="15" hidden="false" customHeight="false" outlineLevel="0" collapsed="false">
      <c r="A275" s="4" t="s">
        <v>95</v>
      </c>
      <c r="B275" s="4" t="s">
        <v>21</v>
      </c>
      <c r="C275" s="4" t="s">
        <v>18</v>
      </c>
      <c r="D275" s="4" t="s">
        <v>34</v>
      </c>
      <c r="E275" s="4" t="n">
        <v>10192</v>
      </c>
      <c r="F275" s="5" t="n">
        <v>61995.3</v>
      </c>
      <c r="G275" s="19" t="n">
        <v>0.198</v>
      </c>
      <c r="H275" s="4" t="n">
        <v>87.6</v>
      </c>
      <c r="I275" s="4" t="n">
        <v>0</v>
      </c>
      <c r="J275" s="4" t="n">
        <v>1</v>
      </c>
      <c r="K275" s="4" t="n">
        <v>0</v>
      </c>
      <c r="L275" s="5" t="n">
        <v>799756.46</v>
      </c>
      <c r="M275" s="5" t="n">
        <f aca="false">'6. Multiple Regression'!$B$14+'6. Multiple Regression'!$B$15*E275+'6. Multiple Regression'!$B$16*F275+'6. Multiple Regression'!$B$17*G275+'6. Multiple Regression'!$B$18*H275+'6. Multiple Regression'!$B$19*I275+'6. Multiple Regression'!$B$20*J275+'6. Multiple Regression'!$B$21*K275</f>
        <v>814948.238570374</v>
      </c>
      <c r="N275" s="5" t="n">
        <f aca="false">L275-M275</f>
        <v>-15191.778570374</v>
      </c>
      <c r="O275" s="5" t="n">
        <f aca="false">ABS(N275)</f>
        <v>15191.778570374</v>
      </c>
      <c r="P275" s="20" t="n">
        <f aca="false">N275/L275</f>
        <v>-0.0189955059198572</v>
      </c>
    </row>
    <row r="276" customFormat="false" ht="15" hidden="false" customHeight="false" outlineLevel="0" collapsed="false">
      <c r="A276" s="7" t="s">
        <v>95</v>
      </c>
      <c r="B276" s="7" t="s">
        <v>22</v>
      </c>
      <c r="C276" s="7" t="s">
        <v>18</v>
      </c>
      <c r="D276" s="7" t="s">
        <v>34</v>
      </c>
      <c r="E276" s="7" t="n">
        <v>7446</v>
      </c>
      <c r="F276" s="8" t="n">
        <v>29344.93</v>
      </c>
      <c r="G276" s="21" t="n">
        <v>0.111</v>
      </c>
      <c r="H276" s="7" t="n">
        <v>86.2</v>
      </c>
      <c r="I276" s="7" t="n">
        <v>0</v>
      </c>
      <c r="J276" s="7" t="n">
        <v>1</v>
      </c>
      <c r="K276" s="7" t="n">
        <v>0</v>
      </c>
      <c r="L276" s="8" t="n">
        <v>593343</v>
      </c>
      <c r="M276" s="8" t="n">
        <f aca="false">'6. Multiple Regression'!$B$14+'6. Multiple Regression'!$B$15*E276+'6. Multiple Regression'!$B$16*F276+'6. Multiple Regression'!$B$17*G276+'6. Multiple Regression'!$B$18*H276+'6. Multiple Regression'!$B$19*I276+'6. Multiple Regression'!$B$20*J276+'6. Multiple Regression'!$B$21*K276</f>
        <v>685376.440974483</v>
      </c>
      <c r="N276" s="8" t="n">
        <f aca="false">L276-M276</f>
        <v>-92033.440974483</v>
      </c>
      <c r="O276" s="8" t="n">
        <f aca="false">ABS(N276)</f>
        <v>92033.440974483</v>
      </c>
      <c r="P276" s="22" t="n">
        <f aca="false">N276/L276</f>
        <v>-0.15511001389497</v>
      </c>
    </row>
    <row r="277" customFormat="false" ht="15" hidden="false" customHeight="false" outlineLevel="0" collapsed="false">
      <c r="A277" s="4" t="s">
        <v>96</v>
      </c>
      <c r="B277" s="4" t="s">
        <v>17</v>
      </c>
      <c r="C277" s="4" t="s">
        <v>33</v>
      </c>
      <c r="D277" s="4" t="s">
        <v>24</v>
      </c>
      <c r="E277" s="4" t="n">
        <v>5689</v>
      </c>
      <c r="F277" s="5" t="n">
        <v>50532.17</v>
      </c>
      <c r="G277" s="19" t="n">
        <v>0.052</v>
      </c>
      <c r="H277" s="4" t="n">
        <v>85.6</v>
      </c>
      <c r="I277" s="4" t="n">
        <v>0</v>
      </c>
      <c r="J277" s="4" t="n">
        <v>0</v>
      </c>
      <c r="K277" s="4" t="n">
        <v>0</v>
      </c>
      <c r="L277" s="5" t="n">
        <v>645039.97</v>
      </c>
      <c r="M277" s="5" t="n">
        <f aca="false">'6. Multiple Regression'!$B$14+'6. Multiple Regression'!$B$15*E277+'6. Multiple Regression'!$B$16*F277+'6. Multiple Regression'!$B$17*G277+'6. Multiple Regression'!$B$18*H277+'6. Multiple Regression'!$B$19*I277+'6. Multiple Regression'!$B$20*J277+'6. Multiple Regression'!$B$21*K277</f>
        <v>641163.807749086</v>
      </c>
      <c r="N277" s="5" t="n">
        <f aca="false">L277-M277</f>
        <v>3876.16225091391</v>
      </c>
      <c r="O277" s="5" t="n">
        <f aca="false">ABS(N277)</f>
        <v>3876.16225091391</v>
      </c>
      <c r="P277" s="20" t="n">
        <f aca="false">N277/L277</f>
        <v>0.00600918149446446</v>
      </c>
    </row>
    <row r="278" customFormat="false" ht="15" hidden="false" customHeight="false" outlineLevel="0" collapsed="false">
      <c r="A278" s="7" t="s">
        <v>96</v>
      </c>
      <c r="B278" s="7" t="s">
        <v>20</v>
      </c>
      <c r="C278" s="7" t="s">
        <v>33</v>
      </c>
      <c r="D278" s="7" t="s">
        <v>24</v>
      </c>
      <c r="E278" s="7" t="n">
        <v>3326</v>
      </c>
      <c r="F278" s="8" t="n">
        <v>17562.57</v>
      </c>
      <c r="G278" s="21" t="n">
        <v>0.153</v>
      </c>
      <c r="H278" s="7" t="n">
        <v>88.1</v>
      </c>
      <c r="I278" s="7" t="n">
        <v>0</v>
      </c>
      <c r="J278" s="7" t="n">
        <v>0</v>
      </c>
      <c r="K278" s="7" t="n">
        <v>0</v>
      </c>
      <c r="L278" s="8" t="n">
        <v>561597.33</v>
      </c>
      <c r="M278" s="8" t="n">
        <f aca="false">'6. Multiple Regression'!$B$14+'6. Multiple Regression'!$B$15*E278+'6. Multiple Regression'!$B$16*F278+'6. Multiple Regression'!$B$17*G278+'6. Multiple Regression'!$B$18*H278+'6. Multiple Regression'!$B$19*I278+'6. Multiple Regression'!$B$20*J278+'6. Multiple Regression'!$B$21*K278</f>
        <v>524740.968483149</v>
      </c>
      <c r="N278" s="8" t="n">
        <f aca="false">L278-M278</f>
        <v>36856.3615168509</v>
      </c>
      <c r="O278" s="8" t="n">
        <f aca="false">ABS(N278)</f>
        <v>36856.3615168509</v>
      </c>
      <c r="P278" s="22" t="n">
        <f aca="false">N278/L278</f>
        <v>0.0656277363655751</v>
      </c>
    </row>
    <row r="279" customFormat="false" ht="15" hidden="false" customHeight="false" outlineLevel="0" collapsed="false">
      <c r="A279" s="4" t="s">
        <v>96</v>
      </c>
      <c r="B279" s="4" t="s">
        <v>21</v>
      </c>
      <c r="C279" s="4" t="s">
        <v>33</v>
      </c>
      <c r="D279" s="4" t="s">
        <v>24</v>
      </c>
      <c r="E279" s="4" t="n">
        <v>5767</v>
      </c>
      <c r="F279" s="5" t="n">
        <v>47648.71</v>
      </c>
      <c r="G279" s="19" t="n">
        <v>0.141</v>
      </c>
      <c r="H279" s="4" t="n">
        <v>89.8</v>
      </c>
      <c r="I279" s="4" t="n">
        <v>0</v>
      </c>
      <c r="J279" s="4" t="n">
        <v>0</v>
      </c>
      <c r="K279" s="4" t="n">
        <v>0</v>
      </c>
      <c r="L279" s="5" t="n">
        <v>635837.74</v>
      </c>
      <c r="M279" s="5" t="n">
        <f aca="false">'6. Multiple Regression'!$B$14+'6. Multiple Regression'!$B$15*E279+'6. Multiple Regression'!$B$16*F279+'6. Multiple Regression'!$B$17*G279+'6. Multiple Regression'!$B$18*H279+'6. Multiple Regression'!$B$19*I279+'6. Multiple Regression'!$B$20*J279+'6. Multiple Regression'!$B$21*K279</f>
        <v>647790.049036913</v>
      </c>
      <c r="N279" s="5" t="n">
        <f aca="false">L279-M279</f>
        <v>-11952.309036913</v>
      </c>
      <c r="O279" s="5" t="n">
        <f aca="false">ABS(N279)</f>
        <v>11952.309036913</v>
      </c>
      <c r="P279" s="20" t="n">
        <f aca="false">N279/L279</f>
        <v>-0.0187977345240831</v>
      </c>
    </row>
    <row r="280" customFormat="false" ht="15" hidden="false" customHeight="false" outlineLevel="0" collapsed="false">
      <c r="A280" s="7" t="s">
        <v>96</v>
      </c>
      <c r="B280" s="7" t="s">
        <v>22</v>
      </c>
      <c r="C280" s="7" t="s">
        <v>33</v>
      </c>
      <c r="D280" s="7" t="s">
        <v>24</v>
      </c>
      <c r="E280" s="7" t="n">
        <v>5893</v>
      </c>
      <c r="F280" s="8" t="n">
        <v>38297.58</v>
      </c>
      <c r="G280" s="21" t="n">
        <v>0.247</v>
      </c>
      <c r="H280" s="7" t="n">
        <v>77.6</v>
      </c>
      <c r="I280" s="7" t="n">
        <v>0</v>
      </c>
      <c r="J280" s="7" t="n">
        <v>0</v>
      </c>
      <c r="K280" s="7" t="n">
        <v>0</v>
      </c>
      <c r="L280" s="8" t="n">
        <v>686737.87</v>
      </c>
      <c r="M280" s="8" t="n">
        <f aca="false">'6. Multiple Regression'!$B$14+'6. Multiple Regression'!$B$15*E280+'6. Multiple Regression'!$B$16*F280+'6. Multiple Regression'!$B$17*G280+'6. Multiple Regression'!$B$18*H280+'6. Multiple Regression'!$B$19*I280+'6. Multiple Regression'!$B$20*J280+'6. Multiple Regression'!$B$21*K280</f>
        <v>598272.894373501</v>
      </c>
      <c r="N280" s="8" t="n">
        <f aca="false">L280-M280</f>
        <v>88464.975626499</v>
      </c>
      <c r="O280" s="8" t="n">
        <f aca="false">ABS(N280)</f>
        <v>88464.975626499</v>
      </c>
      <c r="P280" s="22" t="n">
        <f aca="false">N280/L280</f>
        <v>0.128819130982975</v>
      </c>
    </row>
    <row r="281" customFormat="false" ht="15" hidden="false" customHeight="false" outlineLevel="0" collapsed="false">
      <c r="A281" s="4" t="s">
        <v>97</v>
      </c>
      <c r="B281" s="4" t="s">
        <v>17</v>
      </c>
      <c r="C281" s="4" t="s">
        <v>30</v>
      </c>
      <c r="D281" s="4" t="s">
        <v>19</v>
      </c>
      <c r="E281" s="4" t="n">
        <v>8564</v>
      </c>
      <c r="F281" s="5" t="n">
        <v>61784.11</v>
      </c>
      <c r="G281" s="19" t="n">
        <v>0.13</v>
      </c>
      <c r="H281" s="4" t="n">
        <v>87.4</v>
      </c>
      <c r="I281" s="4" t="n">
        <v>0</v>
      </c>
      <c r="J281" s="4" t="n">
        <v>0</v>
      </c>
      <c r="K281" s="4" t="n">
        <v>1</v>
      </c>
      <c r="L281" s="5" t="n">
        <v>673076.34</v>
      </c>
      <c r="M281" s="5" t="n">
        <f aca="false">'6. Multiple Regression'!$B$14+'6. Multiple Regression'!$B$15*E281+'6. Multiple Regression'!$B$16*F281+'6. Multiple Regression'!$B$17*G281+'6. Multiple Regression'!$B$18*H281+'6. Multiple Regression'!$B$19*I281+'6. Multiple Regression'!$B$20*J281+'6. Multiple Regression'!$B$21*K281</f>
        <v>735293.51104242</v>
      </c>
      <c r="N281" s="5" t="n">
        <f aca="false">L281-M281</f>
        <v>-62217.17104242</v>
      </c>
      <c r="O281" s="5" t="n">
        <f aca="false">ABS(N281)</f>
        <v>62217.17104242</v>
      </c>
      <c r="P281" s="20" t="n">
        <f aca="false">N281/L281</f>
        <v>-0.0924370199113224</v>
      </c>
    </row>
    <row r="282" customFormat="false" ht="15" hidden="false" customHeight="false" outlineLevel="0" collapsed="false">
      <c r="A282" s="7" t="s">
        <v>97</v>
      </c>
      <c r="B282" s="7" t="s">
        <v>20</v>
      </c>
      <c r="C282" s="7" t="s">
        <v>30</v>
      </c>
      <c r="D282" s="7" t="s">
        <v>19</v>
      </c>
      <c r="E282" s="7" t="n">
        <v>8001</v>
      </c>
      <c r="F282" s="8" t="n">
        <v>36832.33</v>
      </c>
      <c r="G282" s="21" t="n">
        <v>0</v>
      </c>
      <c r="H282" s="7" t="n">
        <v>88.7</v>
      </c>
      <c r="I282" s="7" t="n">
        <v>0</v>
      </c>
      <c r="J282" s="7" t="n">
        <v>0</v>
      </c>
      <c r="K282" s="7" t="n">
        <v>1</v>
      </c>
      <c r="L282" s="8" t="n">
        <v>738548.42</v>
      </c>
      <c r="M282" s="8" t="n">
        <f aca="false">'6. Multiple Regression'!$B$14+'6. Multiple Regression'!$B$15*E282+'6. Multiple Regression'!$B$16*F282+'6. Multiple Regression'!$B$17*G282+'6. Multiple Regression'!$B$18*H282+'6. Multiple Regression'!$B$19*I282+'6. Multiple Regression'!$B$20*J282+'6. Multiple Regression'!$B$21*K282</f>
        <v>698820.58541819</v>
      </c>
      <c r="N282" s="8" t="n">
        <f aca="false">L282-M282</f>
        <v>39727.8345818101</v>
      </c>
      <c r="O282" s="8" t="n">
        <f aca="false">ABS(N282)</f>
        <v>39727.8345818101</v>
      </c>
      <c r="P282" s="22" t="n">
        <f aca="false">N282/L282</f>
        <v>0.0537917806144789</v>
      </c>
    </row>
    <row r="283" customFormat="false" ht="15" hidden="false" customHeight="false" outlineLevel="0" collapsed="false">
      <c r="A283" s="4" t="s">
        <v>97</v>
      </c>
      <c r="B283" s="4" t="s">
        <v>21</v>
      </c>
      <c r="C283" s="4" t="s">
        <v>30</v>
      </c>
      <c r="D283" s="4" t="s">
        <v>19</v>
      </c>
      <c r="E283" s="4" t="n">
        <v>9324</v>
      </c>
      <c r="F283" s="5" t="n">
        <v>48609.41</v>
      </c>
      <c r="G283" s="19" t="n">
        <v>0.213</v>
      </c>
      <c r="H283" s="4" t="n">
        <v>86.5</v>
      </c>
      <c r="I283" s="4" t="n">
        <v>0</v>
      </c>
      <c r="J283" s="4" t="n">
        <v>0</v>
      </c>
      <c r="K283" s="4" t="n">
        <v>1</v>
      </c>
      <c r="L283" s="5" t="n">
        <v>756619.77</v>
      </c>
      <c r="M283" s="5" t="n">
        <f aca="false">'6. Multiple Regression'!$B$14+'6. Multiple Regression'!$B$15*E283+'6. Multiple Regression'!$B$16*F283+'6. Multiple Regression'!$B$17*G283+'6. Multiple Regression'!$B$18*H283+'6. Multiple Regression'!$B$19*I283+'6. Multiple Regression'!$B$20*J283+'6. Multiple Regression'!$B$21*K283</f>
        <v>737931.935105049</v>
      </c>
      <c r="N283" s="5" t="n">
        <f aca="false">L283-M283</f>
        <v>18687.8348949511</v>
      </c>
      <c r="O283" s="5" t="n">
        <f aca="false">ABS(N283)</f>
        <v>18687.8348949511</v>
      </c>
      <c r="P283" s="20" t="n">
        <f aca="false">N283/L283</f>
        <v>0.0246991099571071</v>
      </c>
    </row>
    <row r="284" customFormat="false" ht="15" hidden="false" customHeight="false" outlineLevel="0" collapsed="false">
      <c r="A284" s="7" t="s">
        <v>97</v>
      </c>
      <c r="B284" s="7" t="s">
        <v>22</v>
      </c>
      <c r="C284" s="7" t="s">
        <v>30</v>
      </c>
      <c r="D284" s="7" t="s">
        <v>19</v>
      </c>
      <c r="E284" s="7" t="n">
        <v>9109</v>
      </c>
      <c r="F284" s="8" t="n">
        <v>70284.06</v>
      </c>
      <c r="G284" s="21" t="n">
        <v>0.004</v>
      </c>
      <c r="H284" s="7" t="n">
        <v>87</v>
      </c>
      <c r="I284" s="7" t="n">
        <v>0</v>
      </c>
      <c r="J284" s="7" t="n">
        <v>0</v>
      </c>
      <c r="K284" s="7" t="n">
        <v>1</v>
      </c>
      <c r="L284" s="8" t="n">
        <v>761122.42</v>
      </c>
      <c r="M284" s="8" t="n">
        <f aca="false">'6. Multiple Regression'!$B$14+'6. Multiple Regression'!$B$15*E284+'6. Multiple Regression'!$B$16*F284+'6. Multiple Regression'!$B$17*G284+'6. Multiple Regression'!$B$18*H284+'6. Multiple Regression'!$B$19*I284+'6. Multiple Regression'!$B$20*J284+'6. Multiple Regression'!$B$21*K284</f>
        <v>769770.787384832</v>
      </c>
      <c r="N284" s="8" t="n">
        <f aca="false">L284-M284</f>
        <v>-8648.36738483189</v>
      </c>
      <c r="O284" s="8" t="n">
        <f aca="false">ABS(N284)</f>
        <v>8648.36738483189</v>
      </c>
      <c r="P284" s="22" t="n">
        <f aca="false">N284/L284</f>
        <v>-0.011362649631096</v>
      </c>
    </row>
    <row r="285" customFormat="false" ht="15" hidden="false" customHeight="false" outlineLevel="0" collapsed="false">
      <c r="A285" s="4" t="s">
        <v>98</v>
      </c>
      <c r="B285" s="4" t="s">
        <v>17</v>
      </c>
      <c r="C285" s="4" t="s">
        <v>30</v>
      </c>
      <c r="D285" s="4" t="s">
        <v>24</v>
      </c>
      <c r="E285" s="4" t="n">
        <v>4022</v>
      </c>
      <c r="F285" s="5" t="n">
        <v>45940.39</v>
      </c>
      <c r="G285" s="19" t="n">
        <v>0.069</v>
      </c>
      <c r="H285" s="4" t="n">
        <v>83</v>
      </c>
      <c r="I285" s="4" t="n">
        <v>0</v>
      </c>
      <c r="J285" s="4" t="n">
        <v>0</v>
      </c>
      <c r="K285" s="4" t="n">
        <v>0</v>
      </c>
      <c r="L285" s="5" t="n">
        <v>524899.57</v>
      </c>
      <c r="M285" s="5" t="n">
        <f aca="false">'6. Multiple Regression'!$B$14+'6. Multiple Regression'!$B$15*E285+'6. Multiple Regression'!$B$16*F285+'6. Multiple Regression'!$B$17*G285+'6. Multiple Regression'!$B$18*H285+'6. Multiple Regression'!$B$19*I285+'6. Multiple Regression'!$B$20*J285+'6. Multiple Regression'!$B$21*K285</f>
        <v>570888.794615617</v>
      </c>
      <c r="N285" s="5" t="n">
        <f aca="false">L285-M285</f>
        <v>-45989.2246156171</v>
      </c>
      <c r="O285" s="5" t="n">
        <f aca="false">ABS(N285)</f>
        <v>45989.2246156171</v>
      </c>
      <c r="P285" s="20" t="n">
        <f aca="false">N285/L285</f>
        <v>-0.0876152834638769</v>
      </c>
    </row>
    <row r="286" customFormat="false" ht="15" hidden="false" customHeight="false" outlineLevel="0" collapsed="false">
      <c r="A286" s="7" t="s">
        <v>98</v>
      </c>
      <c r="B286" s="7" t="s">
        <v>20</v>
      </c>
      <c r="C286" s="7" t="s">
        <v>30</v>
      </c>
      <c r="D286" s="7" t="s">
        <v>24</v>
      </c>
      <c r="E286" s="7" t="n">
        <v>4355</v>
      </c>
      <c r="F286" s="8" t="n">
        <v>34771.26</v>
      </c>
      <c r="G286" s="21" t="n">
        <v>0.051</v>
      </c>
      <c r="H286" s="7" t="n">
        <v>87.9</v>
      </c>
      <c r="I286" s="7" t="n">
        <v>0</v>
      </c>
      <c r="J286" s="7" t="n">
        <v>0</v>
      </c>
      <c r="K286" s="7" t="n">
        <v>0</v>
      </c>
      <c r="L286" s="8" t="n">
        <v>555557.77</v>
      </c>
      <c r="M286" s="8" t="n">
        <f aca="false">'6. Multiple Regression'!$B$14+'6. Multiple Regression'!$B$15*E286+'6. Multiple Regression'!$B$16*F286+'6. Multiple Regression'!$B$17*G286+'6. Multiple Regression'!$B$18*H286+'6. Multiple Regression'!$B$19*I286+'6. Multiple Regression'!$B$20*J286+'6. Multiple Regression'!$B$21*K286</f>
        <v>584847.932128893</v>
      </c>
      <c r="N286" s="8" t="n">
        <f aca="false">L286-M286</f>
        <v>-29290.162128893</v>
      </c>
      <c r="O286" s="8" t="n">
        <f aca="false">ABS(N286)</f>
        <v>29290.162128893</v>
      </c>
      <c r="P286" s="22" t="n">
        <f aca="false">N286/L286</f>
        <v>-0.0527220816817897</v>
      </c>
    </row>
    <row r="287" customFormat="false" ht="15" hidden="false" customHeight="false" outlineLevel="0" collapsed="false">
      <c r="A287" s="4" t="s">
        <v>98</v>
      </c>
      <c r="B287" s="4" t="s">
        <v>21</v>
      </c>
      <c r="C287" s="4" t="s">
        <v>30</v>
      </c>
      <c r="D287" s="4" t="s">
        <v>24</v>
      </c>
      <c r="E287" s="4" t="n">
        <v>5745</v>
      </c>
      <c r="F287" s="5" t="n">
        <v>66104.19</v>
      </c>
      <c r="G287" s="19" t="n">
        <v>0.07</v>
      </c>
      <c r="H287" s="4" t="n">
        <v>95.8</v>
      </c>
      <c r="I287" s="4" t="n">
        <v>0</v>
      </c>
      <c r="J287" s="4" t="n">
        <v>0</v>
      </c>
      <c r="K287" s="4" t="n">
        <v>0</v>
      </c>
      <c r="L287" s="5" t="n">
        <v>714083.68</v>
      </c>
      <c r="M287" s="5" t="n">
        <f aca="false">'6. Multiple Regression'!$B$14+'6. Multiple Regression'!$B$15*E287+'6. Multiple Regression'!$B$16*F287+'6. Multiple Regression'!$B$17*G287+'6. Multiple Regression'!$B$18*H287+'6. Multiple Regression'!$B$19*I287+'6. Multiple Regression'!$B$20*J287+'6. Multiple Regression'!$B$21*K287</f>
        <v>690749.71640108</v>
      </c>
      <c r="N287" s="5" t="n">
        <f aca="false">L287-M287</f>
        <v>23333.9635989202</v>
      </c>
      <c r="O287" s="5" t="n">
        <f aca="false">ABS(N287)</f>
        <v>23333.9635989202</v>
      </c>
      <c r="P287" s="20" t="n">
        <f aca="false">N287/L287</f>
        <v>0.0326767916036397</v>
      </c>
    </row>
    <row r="288" customFormat="false" ht="15" hidden="false" customHeight="false" outlineLevel="0" collapsed="false">
      <c r="A288" s="7" t="s">
        <v>98</v>
      </c>
      <c r="B288" s="7" t="s">
        <v>22</v>
      </c>
      <c r="C288" s="7" t="s">
        <v>30</v>
      </c>
      <c r="D288" s="7" t="s">
        <v>24</v>
      </c>
      <c r="E288" s="7" t="n">
        <v>3027</v>
      </c>
      <c r="F288" s="8" t="n">
        <v>18599.21</v>
      </c>
      <c r="G288" s="21" t="n">
        <v>0.122</v>
      </c>
      <c r="H288" s="7" t="n">
        <v>80.9</v>
      </c>
      <c r="I288" s="7" t="n">
        <v>0</v>
      </c>
      <c r="J288" s="7" t="n">
        <v>0</v>
      </c>
      <c r="K288" s="7" t="n">
        <v>0</v>
      </c>
      <c r="L288" s="8" t="n">
        <v>497439.82</v>
      </c>
      <c r="M288" s="8" t="n">
        <f aca="false">'6. Multiple Regression'!$B$14+'6. Multiple Regression'!$B$15*E288+'6. Multiple Regression'!$B$16*F288+'6. Multiple Regression'!$B$17*G288+'6. Multiple Regression'!$B$18*H288+'6. Multiple Regression'!$B$19*I288+'6. Multiple Regression'!$B$20*J288+'6. Multiple Regression'!$B$21*K288</f>
        <v>496101.443990716</v>
      </c>
      <c r="N288" s="8" t="n">
        <f aca="false">L288-M288</f>
        <v>1338.37600928399</v>
      </c>
      <c r="O288" s="8" t="n">
        <f aca="false">ABS(N288)</f>
        <v>1338.37600928399</v>
      </c>
      <c r="P288" s="22" t="n">
        <f aca="false">N288/L288</f>
        <v>0.00269052849304263</v>
      </c>
    </row>
    <row r="289" customFormat="false" ht="15" hidden="false" customHeight="false" outlineLevel="0" collapsed="false">
      <c r="A289" s="4" t="s">
        <v>99</v>
      </c>
      <c r="B289" s="4" t="s">
        <v>17</v>
      </c>
      <c r="C289" s="4" t="s">
        <v>33</v>
      </c>
      <c r="D289" s="4" t="s">
        <v>19</v>
      </c>
      <c r="E289" s="4" t="n">
        <v>5562</v>
      </c>
      <c r="F289" s="5" t="n">
        <v>60183.06</v>
      </c>
      <c r="G289" s="19" t="n">
        <v>0.009</v>
      </c>
      <c r="H289" s="4" t="n">
        <v>86.3</v>
      </c>
      <c r="I289" s="4" t="n">
        <v>0</v>
      </c>
      <c r="J289" s="4" t="n">
        <v>0</v>
      </c>
      <c r="K289" s="4" t="n">
        <v>1</v>
      </c>
      <c r="L289" s="5" t="n">
        <v>636775.66</v>
      </c>
      <c r="M289" s="5" t="n">
        <f aca="false">'6. Multiple Regression'!$B$14+'6. Multiple Regression'!$B$15*E289+'6. Multiple Regression'!$B$16*F289+'6. Multiple Regression'!$B$17*G289+'6. Multiple Regression'!$B$18*H289+'6. Multiple Regression'!$B$19*I289+'6. Multiple Regression'!$B$20*J289+'6. Multiple Regression'!$B$21*K289</f>
        <v>636195.057028647</v>
      </c>
      <c r="N289" s="5" t="n">
        <f aca="false">L289-M289</f>
        <v>580.602971353103</v>
      </c>
      <c r="O289" s="5" t="n">
        <f aca="false">ABS(N289)</f>
        <v>580.602971353103</v>
      </c>
      <c r="P289" s="20" t="n">
        <f aca="false">N289/L289</f>
        <v>0.000911785747830095</v>
      </c>
    </row>
    <row r="290" customFormat="false" ht="15" hidden="false" customHeight="false" outlineLevel="0" collapsed="false">
      <c r="A290" s="7" t="s">
        <v>99</v>
      </c>
      <c r="B290" s="7" t="s">
        <v>20</v>
      </c>
      <c r="C290" s="7" t="s">
        <v>33</v>
      </c>
      <c r="D290" s="7" t="s">
        <v>19</v>
      </c>
      <c r="E290" s="7" t="n">
        <v>4487</v>
      </c>
      <c r="F290" s="8" t="n">
        <v>74539.14</v>
      </c>
      <c r="G290" s="21" t="n">
        <v>0.14</v>
      </c>
      <c r="H290" s="7" t="n">
        <v>90.4</v>
      </c>
      <c r="I290" s="7" t="n">
        <v>0</v>
      </c>
      <c r="J290" s="7" t="n">
        <v>0</v>
      </c>
      <c r="K290" s="7" t="n">
        <v>1</v>
      </c>
      <c r="L290" s="8" t="n">
        <v>633009.53</v>
      </c>
      <c r="M290" s="8" t="n">
        <f aca="false">'6. Multiple Regression'!$B$14+'6. Multiple Regression'!$B$15*E290+'6. Multiple Regression'!$B$16*F290+'6. Multiple Regression'!$B$17*G290+'6. Multiple Regression'!$B$18*H290+'6. Multiple Regression'!$B$19*I290+'6. Multiple Regression'!$B$20*J290+'6. Multiple Regression'!$B$21*K290</f>
        <v>621324.00908284</v>
      </c>
      <c r="N290" s="8" t="n">
        <f aca="false">L290-M290</f>
        <v>11685.5209171601</v>
      </c>
      <c r="O290" s="8" t="n">
        <f aca="false">ABS(N290)</f>
        <v>11685.5209171601</v>
      </c>
      <c r="P290" s="22" t="n">
        <f aca="false">N290/L290</f>
        <v>0.0184602606490934</v>
      </c>
    </row>
    <row r="291" customFormat="false" ht="15" hidden="false" customHeight="false" outlineLevel="0" collapsed="false">
      <c r="A291" s="4" t="s">
        <v>99</v>
      </c>
      <c r="B291" s="4" t="s">
        <v>21</v>
      </c>
      <c r="C291" s="4" t="s">
        <v>33</v>
      </c>
      <c r="D291" s="4" t="s">
        <v>19</v>
      </c>
      <c r="E291" s="4" t="n">
        <v>4162</v>
      </c>
      <c r="F291" s="5" t="n">
        <v>55371.97</v>
      </c>
      <c r="G291" s="19" t="n">
        <v>0.183</v>
      </c>
      <c r="H291" s="4" t="n">
        <v>92</v>
      </c>
      <c r="I291" s="4" t="n">
        <v>0</v>
      </c>
      <c r="J291" s="4" t="n">
        <v>0</v>
      </c>
      <c r="K291" s="4" t="n">
        <v>1</v>
      </c>
      <c r="L291" s="5" t="n">
        <v>609949</v>
      </c>
      <c r="M291" s="5" t="n">
        <f aca="false">'6. Multiple Regression'!$B$14+'6. Multiple Regression'!$B$15*E291+'6. Multiple Regression'!$B$16*F291+'6. Multiple Regression'!$B$17*G291+'6. Multiple Regression'!$B$18*H291+'6. Multiple Regression'!$B$19*I291+'6. Multiple Regression'!$B$20*J291+'6. Multiple Regression'!$B$21*K291</f>
        <v>590312.193422739</v>
      </c>
      <c r="N291" s="5" t="n">
        <f aca="false">L291-M291</f>
        <v>19636.8065772611</v>
      </c>
      <c r="O291" s="5" t="n">
        <f aca="false">ABS(N291)</f>
        <v>19636.8065772611</v>
      </c>
      <c r="P291" s="20" t="n">
        <f aca="false">N291/L291</f>
        <v>0.0321941778366078</v>
      </c>
    </row>
    <row r="292" customFormat="false" ht="15" hidden="false" customHeight="false" outlineLevel="0" collapsed="false">
      <c r="A292" s="7" t="s">
        <v>99</v>
      </c>
      <c r="B292" s="7" t="s">
        <v>22</v>
      </c>
      <c r="C292" s="7" t="s">
        <v>33</v>
      </c>
      <c r="D292" s="7" t="s">
        <v>19</v>
      </c>
      <c r="E292" s="7" t="n">
        <v>4094</v>
      </c>
      <c r="F292" s="8" t="n">
        <v>40928.69</v>
      </c>
      <c r="G292" s="21" t="n">
        <v>0.174</v>
      </c>
      <c r="H292" s="7" t="n">
        <v>82.4</v>
      </c>
      <c r="I292" s="7" t="n">
        <v>0</v>
      </c>
      <c r="J292" s="7" t="n">
        <v>0</v>
      </c>
      <c r="K292" s="7" t="n">
        <v>1</v>
      </c>
      <c r="L292" s="8" t="n">
        <v>548103.7</v>
      </c>
      <c r="M292" s="8" t="n">
        <f aca="false">'6. Multiple Regression'!$B$14+'6. Multiple Regression'!$B$15*E292+'6. Multiple Regression'!$B$16*F292+'6. Multiple Regression'!$B$17*G292+'6. Multiple Regression'!$B$18*H292+'6. Multiple Regression'!$B$19*I292+'6. Multiple Regression'!$B$20*J292+'6. Multiple Regression'!$B$21*K292</f>
        <v>542908.280640132</v>
      </c>
      <c r="N292" s="8" t="n">
        <f aca="false">L292-M292</f>
        <v>5195.41935986804</v>
      </c>
      <c r="O292" s="8" t="n">
        <f aca="false">ABS(N292)</f>
        <v>5195.41935986804</v>
      </c>
      <c r="P292" s="22" t="n">
        <f aca="false">N292/L292</f>
        <v>0.0094788985366602</v>
      </c>
    </row>
    <row r="293" customFormat="false" ht="15" hidden="false" customHeight="false" outlineLevel="0" collapsed="false">
      <c r="A293" s="4" t="s">
        <v>100</v>
      </c>
      <c r="B293" s="4" t="s">
        <v>17</v>
      </c>
      <c r="C293" s="4" t="s">
        <v>18</v>
      </c>
      <c r="D293" s="4" t="s">
        <v>19</v>
      </c>
      <c r="E293" s="4" t="n">
        <v>8484</v>
      </c>
      <c r="F293" s="5" t="n">
        <v>70012.41</v>
      </c>
      <c r="G293" s="19" t="n">
        <v>0.273</v>
      </c>
      <c r="H293" s="4" t="n">
        <v>72.9</v>
      </c>
      <c r="I293" s="4" t="n">
        <v>0</v>
      </c>
      <c r="J293" s="4" t="n">
        <v>0</v>
      </c>
      <c r="K293" s="4" t="n">
        <v>1</v>
      </c>
      <c r="L293" s="5" t="n">
        <v>729424.42</v>
      </c>
      <c r="M293" s="5" t="n">
        <f aca="false">'6. Multiple Regression'!$B$14+'6. Multiple Regression'!$B$15*E293+'6. Multiple Regression'!$B$16*F293+'6. Multiple Regression'!$B$17*G293+'6. Multiple Regression'!$B$18*H293+'6. Multiple Regression'!$B$19*I293+'6. Multiple Regression'!$B$20*J293+'6. Multiple Regression'!$B$21*K293</f>
        <v>690247.371579829</v>
      </c>
      <c r="N293" s="5" t="n">
        <f aca="false">L293-M293</f>
        <v>39177.048420171</v>
      </c>
      <c r="O293" s="5" t="n">
        <f aca="false">ABS(N293)</f>
        <v>39177.048420171</v>
      </c>
      <c r="P293" s="20" t="n">
        <f aca="false">N293/L293</f>
        <v>0.0537095377478191</v>
      </c>
    </row>
    <row r="294" customFormat="false" ht="15" hidden="false" customHeight="false" outlineLevel="0" collapsed="false">
      <c r="A294" s="7" t="s">
        <v>100</v>
      </c>
      <c r="B294" s="7" t="s">
        <v>20</v>
      </c>
      <c r="C294" s="7" t="s">
        <v>18</v>
      </c>
      <c r="D294" s="7" t="s">
        <v>19</v>
      </c>
      <c r="E294" s="7" t="n">
        <v>7794</v>
      </c>
      <c r="F294" s="8" t="n">
        <v>68909.26</v>
      </c>
      <c r="G294" s="21" t="n">
        <v>0.284</v>
      </c>
      <c r="H294" s="7" t="n">
        <v>89</v>
      </c>
      <c r="I294" s="7" t="n">
        <v>0</v>
      </c>
      <c r="J294" s="7" t="n">
        <v>0</v>
      </c>
      <c r="K294" s="7" t="n">
        <v>1</v>
      </c>
      <c r="L294" s="8" t="n">
        <v>696261.49</v>
      </c>
      <c r="M294" s="8" t="n">
        <f aca="false">'6. Multiple Regression'!$B$14+'6. Multiple Regression'!$B$15*E294+'6. Multiple Regression'!$B$16*F294+'6. Multiple Regression'!$B$17*G294+'6. Multiple Regression'!$B$18*H294+'6. Multiple Regression'!$B$19*I294+'6. Multiple Regression'!$B$20*J294+'6. Multiple Regression'!$B$21*K294</f>
        <v>713404.340501072</v>
      </c>
      <c r="N294" s="8" t="n">
        <f aca="false">L294-M294</f>
        <v>-17142.8505010719</v>
      </c>
      <c r="O294" s="8" t="n">
        <f aca="false">ABS(N294)</f>
        <v>17142.8505010719</v>
      </c>
      <c r="P294" s="22" t="n">
        <f aca="false">N294/L294</f>
        <v>-0.0246212820144223</v>
      </c>
    </row>
    <row r="295" customFormat="false" ht="15" hidden="false" customHeight="false" outlineLevel="0" collapsed="false">
      <c r="A295" s="4" t="s">
        <v>100</v>
      </c>
      <c r="B295" s="4" t="s">
        <v>21</v>
      </c>
      <c r="C295" s="4" t="s">
        <v>18</v>
      </c>
      <c r="D295" s="4" t="s">
        <v>19</v>
      </c>
      <c r="E295" s="4" t="n">
        <v>8300</v>
      </c>
      <c r="F295" s="5" t="n">
        <v>56737.3</v>
      </c>
      <c r="G295" s="19" t="n">
        <v>0.032</v>
      </c>
      <c r="H295" s="4" t="n">
        <v>83.2</v>
      </c>
      <c r="I295" s="4" t="n">
        <v>0</v>
      </c>
      <c r="J295" s="4" t="n">
        <v>0</v>
      </c>
      <c r="K295" s="4" t="n">
        <v>1</v>
      </c>
      <c r="L295" s="5" t="n">
        <v>813316.71</v>
      </c>
      <c r="M295" s="5" t="n">
        <f aca="false">'6. Multiple Regression'!$B$14+'6. Multiple Regression'!$B$15*E295+'6. Multiple Regression'!$B$16*F295+'6. Multiple Regression'!$B$17*G295+'6. Multiple Regression'!$B$18*H295+'6. Multiple Regression'!$B$19*I295+'6. Multiple Regression'!$B$20*J295+'6. Multiple Regression'!$B$21*K295</f>
        <v>713693.303513916</v>
      </c>
      <c r="N295" s="5" t="n">
        <f aca="false">L295-M295</f>
        <v>99623.406486084</v>
      </c>
      <c r="O295" s="5" t="n">
        <f aca="false">ABS(N295)</f>
        <v>99623.406486084</v>
      </c>
      <c r="P295" s="20" t="n">
        <f aca="false">N295/L295</f>
        <v>0.122490298380915</v>
      </c>
    </row>
    <row r="296" customFormat="false" ht="15" hidden="false" customHeight="false" outlineLevel="0" collapsed="false">
      <c r="A296" s="7" t="s">
        <v>100</v>
      </c>
      <c r="B296" s="7" t="s">
        <v>22</v>
      </c>
      <c r="C296" s="7" t="s">
        <v>18</v>
      </c>
      <c r="D296" s="7" t="s">
        <v>19</v>
      </c>
      <c r="E296" s="7" t="n">
        <v>7083</v>
      </c>
      <c r="F296" s="8" t="n">
        <v>54080.91</v>
      </c>
      <c r="G296" s="21" t="n">
        <v>0</v>
      </c>
      <c r="H296" s="7" t="n">
        <v>97</v>
      </c>
      <c r="I296" s="7" t="n">
        <v>0</v>
      </c>
      <c r="J296" s="7" t="n">
        <v>0</v>
      </c>
      <c r="K296" s="7" t="n">
        <v>1</v>
      </c>
      <c r="L296" s="8" t="n">
        <v>702068.92</v>
      </c>
      <c r="M296" s="8" t="n">
        <f aca="false">'6. Multiple Regression'!$B$14+'6. Multiple Regression'!$B$15*E296+'6. Multiple Regression'!$B$16*F296+'6. Multiple Regression'!$B$17*G296+'6. Multiple Regression'!$B$18*H296+'6. Multiple Regression'!$B$19*I296+'6. Multiple Regression'!$B$20*J296+'6. Multiple Regression'!$B$21*K296</f>
        <v>712929.68522963</v>
      </c>
      <c r="N296" s="8" t="n">
        <f aca="false">L296-M296</f>
        <v>-10860.7652296299</v>
      </c>
      <c r="O296" s="8" t="n">
        <f aca="false">ABS(N296)</f>
        <v>10860.7652296299</v>
      </c>
      <c r="P296" s="22" t="n">
        <f aca="false">N296/L296</f>
        <v>-0.0154696567818868</v>
      </c>
    </row>
    <row r="297" customFormat="false" ht="15" hidden="false" customHeight="false" outlineLevel="0" collapsed="false">
      <c r="A297" s="4" t="s">
        <v>101</v>
      </c>
      <c r="B297" s="4" t="s">
        <v>17</v>
      </c>
      <c r="C297" s="4" t="s">
        <v>33</v>
      </c>
      <c r="D297" s="4" t="s">
        <v>24</v>
      </c>
      <c r="E297" s="4" t="n">
        <v>3834</v>
      </c>
      <c r="F297" s="5" t="n">
        <v>51996.32</v>
      </c>
      <c r="G297" s="19" t="n">
        <v>0.096</v>
      </c>
      <c r="H297" s="4" t="n">
        <v>86.7</v>
      </c>
      <c r="I297" s="4" t="n">
        <v>0</v>
      </c>
      <c r="J297" s="4" t="n">
        <v>0</v>
      </c>
      <c r="K297" s="4" t="n">
        <v>0</v>
      </c>
      <c r="L297" s="5" t="n">
        <v>546223.7</v>
      </c>
      <c r="M297" s="5" t="n">
        <f aca="false">'6. Multiple Regression'!$B$14+'6. Multiple Regression'!$B$15*E297+'6. Multiple Regression'!$B$16*F297+'6. Multiple Regression'!$B$17*G297+'6. Multiple Regression'!$B$18*H297+'6. Multiple Regression'!$B$19*I297+'6. Multiple Regression'!$B$20*J297+'6. Multiple Regression'!$B$21*K297</f>
        <v>581131.592820308</v>
      </c>
      <c r="N297" s="5" t="n">
        <f aca="false">L297-M297</f>
        <v>-34907.8928203081</v>
      </c>
      <c r="O297" s="5" t="n">
        <f aca="false">ABS(N297)</f>
        <v>34907.8928203081</v>
      </c>
      <c r="P297" s="20" t="n">
        <f aca="false">N297/L297</f>
        <v>-0.0639076862104447</v>
      </c>
    </row>
    <row r="298" customFormat="false" ht="15" hidden="false" customHeight="false" outlineLevel="0" collapsed="false">
      <c r="A298" s="7" t="s">
        <v>101</v>
      </c>
      <c r="B298" s="7" t="s">
        <v>20</v>
      </c>
      <c r="C298" s="7" t="s">
        <v>33</v>
      </c>
      <c r="D298" s="7" t="s">
        <v>24</v>
      </c>
      <c r="E298" s="7" t="n">
        <v>2358</v>
      </c>
      <c r="F298" s="8" t="n">
        <v>40102.88</v>
      </c>
      <c r="G298" s="21" t="n">
        <v>0.119</v>
      </c>
      <c r="H298" s="7" t="n">
        <v>88.7</v>
      </c>
      <c r="I298" s="7" t="n">
        <v>0</v>
      </c>
      <c r="J298" s="7" t="n">
        <v>0</v>
      </c>
      <c r="K298" s="7" t="n">
        <v>0</v>
      </c>
      <c r="L298" s="8" t="n">
        <v>533121.26</v>
      </c>
      <c r="M298" s="8" t="n">
        <f aca="false">'6. Multiple Regression'!$B$14+'6. Multiple Regression'!$B$15*E298+'6. Multiple Regression'!$B$16*F298+'6. Multiple Regression'!$B$17*G298+'6. Multiple Regression'!$B$18*H298+'6. Multiple Regression'!$B$19*I298+'6. Multiple Regression'!$B$20*J298+'6. Multiple Regression'!$B$21*K298</f>
        <v>522228.422824837</v>
      </c>
      <c r="N298" s="8" t="n">
        <f aca="false">L298-M298</f>
        <v>10892.837175163</v>
      </c>
      <c r="O298" s="8" t="n">
        <f aca="false">ABS(N298)</f>
        <v>10892.837175163</v>
      </c>
      <c r="P298" s="22" t="n">
        <f aca="false">N298/L298</f>
        <v>0.0204321943100956</v>
      </c>
    </row>
    <row r="299" customFormat="false" ht="15" hidden="false" customHeight="false" outlineLevel="0" collapsed="false">
      <c r="A299" s="4" t="s">
        <v>101</v>
      </c>
      <c r="B299" s="4" t="s">
        <v>21</v>
      </c>
      <c r="C299" s="4" t="s">
        <v>33</v>
      </c>
      <c r="D299" s="4" t="s">
        <v>24</v>
      </c>
      <c r="E299" s="4" t="n">
        <v>1231</v>
      </c>
      <c r="F299" s="5" t="n">
        <v>59825.51</v>
      </c>
      <c r="G299" s="19" t="n">
        <v>0.214</v>
      </c>
      <c r="H299" s="4" t="n">
        <v>84.8</v>
      </c>
      <c r="I299" s="4" t="n">
        <v>0</v>
      </c>
      <c r="J299" s="4" t="n">
        <v>0</v>
      </c>
      <c r="K299" s="4" t="n">
        <v>0</v>
      </c>
      <c r="L299" s="5" t="n">
        <v>498970.32</v>
      </c>
      <c r="M299" s="5" t="n">
        <f aca="false">'6. Multiple Regression'!$B$14+'6. Multiple Regression'!$B$15*E299+'6. Multiple Regression'!$B$16*F299+'6. Multiple Regression'!$B$17*G299+'6. Multiple Regression'!$B$18*H299+'6. Multiple Regression'!$B$19*I299+'6. Multiple Regression'!$B$20*J299+'6. Multiple Regression'!$B$21*K299</f>
        <v>489973.085687912</v>
      </c>
      <c r="N299" s="5" t="n">
        <f aca="false">L299-M299</f>
        <v>8997.234312088</v>
      </c>
      <c r="O299" s="5" t="n">
        <f aca="false">ABS(N299)</f>
        <v>8997.234312088</v>
      </c>
      <c r="P299" s="20" t="n">
        <f aca="false">N299/L299</f>
        <v>0.0180316021844506</v>
      </c>
    </row>
    <row r="300" customFormat="false" ht="15" hidden="false" customHeight="false" outlineLevel="0" collapsed="false">
      <c r="A300" s="7" t="s">
        <v>101</v>
      </c>
      <c r="B300" s="7" t="s">
        <v>22</v>
      </c>
      <c r="C300" s="7" t="s">
        <v>33</v>
      </c>
      <c r="D300" s="7" t="s">
        <v>24</v>
      </c>
      <c r="E300" s="7" t="n">
        <v>1723</v>
      </c>
      <c r="F300" s="8" t="n">
        <v>27398.28</v>
      </c>
      <c r="G300" s="21" t="n">
        <v>0.171</v>
      </c>
      <c r="H300" s="7" t="n">
        <v>81</v>
      </c>
      <c r="I300" s="7" t="n">
        <v>0</v>
      </c>
      <c r="J300" s="7" t="n">
        <v>0</v>
      </c>
      <c r="K300" s="7" t="n">
        <v>0</v>
      </c>
      <c r="L300" s="8" t="n">
        <v>487738.26</v>
      </c>
      <c r="M300" s="8" t="n">
        <f aca="false">'6. Multiple Regression'!$B$14+'6. Multiple Regression'!$B$15*E300+'6. Multiple Regression'!$B$16*F300+'6. Multiple Regression'!$B$17*G300+'6. Multiple Regression'!$B$18*H300+'6. Multiple Regression'!$B$19*I300+'6. Multiple Regression'!$B$20*J300+'6. Multiple Regression'!$B$21*K300</f>
        <v>459871.314392813</v>
      </c>
      <c r="N300" s="8" t="n">
        <f aca="false">L300-M300</f>
        <v>27866.945607187</v>
      </c>
      <c r="O300" s="8" t="n">
        <f aca="false">ABS(N300)</f>
        <v>27866.945607187</v>
      </c>
      <c r="P300" s="22" t="n">
        <f aca="false">N300/L300</f>
        <v>0.0571350412559125</v>
      </c>
    </row>
    <row r="301" customFormat="false" ht="15" hidden="false" customHeight="false" outlineLevel="0" collapsed="false">
      <c r="A301" s="4" t="s">
        <v>102</v>
      </c>
      <c r="B301" s="4" t="s">
        <v>17</v>
      </c>
      <c r="C301" s="4" t="s">
        <v>33</v>
      </c>
      <c r="D301" s="4" t="s">
        <v>24</v>
      </c>
      <c r="E301" s="4" t="n">
        <v>5896</v>
      </c>
      <c r="F301" s="5" t="n">
        <v>55599.56</v>
      </c>
      <c r="G301" s="19" t="n">
        <v>0.036</v>
      </c>
      <c r="H301" s="4" t="n">
        <v>93.1</v>
      </c>
      <c r="I301" s="4" t="n">
        <v>0</v>
      </c>
      <c r="J301" s="4" t="n">
        <v>0</v>
      </c>
      <c r="K301" s="4" t="n">
        <v>0</v>
      </c>
      <c r="L301" s="5" t="n">
        <v>668459.37</v>
      </c>
      <c r="M301" s="5" t="n">
        <f aca="false">'6. Multiple Regression'!$B$14+'6. Multiple Regression'!$B$15*E301+'6. Multiple Regression'!$B$16*F301+'6. Multiple Regression'!$B$17*G301+'6. Multiple Regression'!$B$18*H301+'6. Multiple Regression'!$B$19*I301+'6. Multiple Regression'!$B$20*J301+'6. Multiple Regression'!$B$21*K301</f>
        <v>677490.047855848</v>
      </c>
      <c r="N301" s="5" t="n">
        <f aca="false">L301-M301</f>
        <v>-9030.67785584799</v>
      </c>
      <c r="O301" s="5" t="n">
        <f aca="false">ABS(N301)</f>
        <v>9030.67785584799</v>
      </c>
      <c r="P301" s="20" t="n">
        <f aca="false">N301/L301</f>
        <v>-0.0135096884883938</v>
      </c>
    </row>
    <row r="302" customFormat="false" ht="15" hidden="false" customHeight="false" outlineLevel="0" collapsed="false">
      <c r="A302" s="7" t="s">
        <v>102</v>
      </c>
      <c r="B302" s="7" t="s">
        <v>20</v>
      </c>
      <c r="C302" s="7" t="s">
        <v>33</v>
      </c>
      <c r="D302" s="7" t="s">
        <v>24</v>
      </c>
      <c r="E302" s="7" t="n">
        <v>5903</v>
      </c>
      <c r="F302" s="8" t="n">
        <v>55477.61</v>
      </c>
      <c r="G302" s="21" t="n">
        <v>0.102</v>
      </c>
      <c r="H302" s="7" t="n">
        <v>96.2</v>
      </c>
      <c r="I302" s="7" t="n">
        <v>0</v>
      </c>
      <c r="J302" s="7" t="n">
        <v>0</v>
      </c>
      <c r="K302" s="7" t="n">
        <v>0</v>
      </c>
      <c r="L302" s="8" t="n">
        <v>763162.45</v>
      </c>
      <c r="M302" s="8" t="n">
        <f aca="false">'6. Multiple Regression'!$B$14+'6. Multiple Regression'!$B$15*E302+'6. Multiple Regression'!$B$16*F302+'6. Multiple Regression'!$B$17*G302+'6. Multiple Regression'!$B$18*H302+'6. Multiple Regression'!$B$19*I302+'6. Multiple Regression'!$B$20*J302+'6. Multiple Regression'!$B$21*K302</f>
        <v>682998.500247156</v>
      </c>
      <c r="N302" s="8" t="n">
        <f aca="false">L302-M302</f>
        <v>80163.9497528439</v>
      </c>
      <c r="O302" s="8" t="n">
        <f aca="false">ABS(N302)</f>
        <v>80163.9497528439</v>
      </c>
      <c r="P302" s="22" t="n">
        <f aca="false">N302/L302</f>
        <v>0.105041789926698</v>
      </c>
    </row>
    <row r="303" customFormat="false" ht="15" hidden="false" customHeight="false" outlineLevel="0" collapsed="false">
      <c r="A303" s="4" t="s">
        <v>102</v>
      </c>
      <c r="B303" s="4" t="s">
        <v>21</v>
      </c>
      <c r="C303" s="4" t="s">
        <v>33</v>
      </c>
      <c r="D303" s="4" t="s">
        <v>24</v>
      </c>
      <c r="E303" s="4" t="n">
        <v>4898</v>
      </c>
      <c r="F303" s="5" t="n">
        <v>46174.7</v>
      </c>
      <c r="G303" s="19" t="n">
        <v>0.114</v>
      </c>
      <c r="H303" s="4" t="n">
        <v>91.7</v>
      </c>
      <c r="I303" s="4" t="n">
        <v>0</v>
      </c>
      <c r="J303" s="4" t="n">
        <v>0</v>
      </c>
      <c r="K303" s="4" t="n">
        <v>0</v>
      </c>
      <c r="L303" s="5" t="n">
        <v>599017.33</v>
      </c>
      <c r="M303" s="5" t="n">
        <f aca="false">'6. Multiple Regression'!$B$14+'6. Multiple Regression'!$B$15*E303+'6. Multiple Regression'!$B$16*F303+'6. Multiple Regression'!$B$17*G303+'6. Multiple Regression'!$B$18*H303+'6. Multiple Regression'!$B$19*I303+'6. Multiple Regression'!$B$20*J303+'6. Multiple Regression'!$B$21*K303</f>
        <v>624110.866381782</v>
      </c>
      <c r="N303" s="5" t="n">
        <f aca="false">L303-M303</f>
        <v>-25093.5363817822</v>
      </c>
      <c r="O303" s="5" t="n">
        <f aca="false">ABS(N303)</f>
        <v>25093.5363817822</v>
      </c>
      <c r="P303" s="20" t="n">
        <f aca="false">N303/L303</f>
        <v>-0.0418911692951891</v>
      </c>
    </row>
    <row r="304" customFormat="false" ht="15" hidden="false" customHeight="false" outlineLevel="0" collapsed="false">
      <c r="A304" s="7" t="s">
        <v>102</v>
      </c>
      <c r="B304" s="7" t="s">
        <v>22</v>
      </c>
      <c r="C304" s="7" t="s">
        <v>33</v>
      </c>
      <c r="D304" s="7" t="s">
        <v>24</v>
      </c>
      <c r="E304" s="7" t="n">
        <v>1462</v>
      </c>
      <c r="F304" s="8" t="n">
        <v>24362.98</v>
      </c>
      <c r="G304" s="21" t="n">
        <v>0.117</v>
      </c>
      <c r="H304" s="7" t="n">
        <v>89.3</v>
      </c>
      <c r="I304" s="7" t="n">
        <v>0</v>
      </c>
      <c r="J304" s="7" t="n">
        <v>0</v>
      </c>
      <c r="K304" s="7" t="n">
        <v>0</v>
      </c>
      <c r="L304" s="8" t="n">
        <v>401582.58</v>
      </c>
      <c r="M304" s="8" t="n">
        <f aca="false">'6. Multiple Regression'!$B$14+'6. Multiple Regression'!$B$15*E304+'6. Multiple Regression'!$B$16*F304+'6. Multiple Regression'!$B$17*G304+'6. Multiple Regression'!$B$18*H304+'6. Multiple Regression'!$B$19*I304+'6. Multiple Regression'!$B$20*J304+'6. Multiple Regression'!$B$21*K304</f>
        <v>475638.931711011</v>
      </c>
      <c r="N304" s="8" t="n">
        <f aca="false">L304-M304</f>
        <v>-74056.351711011</v>
      </c>
      <c r="O304" s="8" t="n">
        <f aca="false">ABS(N304)</f>
        <v>74056.351711011</v>
      </c>
      <c r="P304" s="22" t="n">
        <f aca="false">N304/L304</f>
        <v>-0.184411265326825</v>
      </c>
    </row>
    <row r="305" customFormat="false" ht="15" hidden="false" customHeight="false" outlineLevel="0" collapsed="false">
      <c r="A305" s="4" t="s">
        <v>103</v>
      </c>
      <c r="B305" s="4" t="s">
        <v>17</v>
      </c>
      <c r="C305" s="4" t="s">
        <v>26</v>
      </c>
      <c r="D305" s="4" t="s">
        <v>34</v>
      </c>
      <c r="E305" s="4" t="n">
        <v>8252</v>
      </c>
      <c r="F305" s="5" t="n">
        <v>40647.67</v>
      </c>
      <c r="G305" s="19" t="n">
        <v>0.141</v>
      </c>
      <c r="H305" s="4" t="n">
        <v>88.2</v>
      </c>
      <c r="I305" s="4" t="n">
        <v>0</v>
      </c>
      <c r="J305" s="4" t="n">
        <v>1</v>
      </c>
      <c r="K305" s="4" t="n">
        <v>0</v>
      </c>
      <c r="L305" s="5" t="n">
        <v>703812.99</v>
      </c>
      <c r="M305" s="5" t="n">
        <f aca="false">'6. Multiple Regression'!$B$14+'6. Multiple Regression'!$B$15*E305+'6. Multiple Regression'!$B$16*F305+'6. Multiple Regression'!$B$17*G305+'6. Multiple Regression'!$B$18*H305+'6. Multiple Regression'!$B$19*I305+'6. Multiple Regression'!$B$20*J305+'6. Multiple Regression'!$B$21*K305</f>
        <v>729917.982957193</v>
      </c>
      <c r="N305" s="5" t="n">
        <f aca="false">L305-M305</f>
        <v>-26104.9929571929</v>
      </c>
      <c r="O305" s="5" t="n">
        <f aca="false">ABS(N305)</f>
        <v>26104.9929571929</v>
      </c>
      <c r="P305" s="20" t="n">
        <f aca="false">N305/L305</f>
        <v>-0.0370908086780168</v>
      </c>
    </row>
    <row r="306" customFormat="false" ht="15" hidden="false" customHeight="false" outlineLevel="0" collapsed="false">
      <c r="A306" s="7" t="s">
        <v>103</v>
      </c>
      <c r="B306" s="7" t="s">
        <v>20</v>
      </c>
      <c r="C306" s="7" t="s">
        <v>26</v>
      </c>
      <c r="D306" s="7" t="s">
        <v>34</v>
      </c>
      <c r="E306" s="7" t="n">
        <v>7989</v>
      </c>
      <c r="F306" s="8" t="n">
        <v>63986.98</v>
      </c>
      <c r="G306" s="21" t="n">
        <v>0.074</v>
      </c>
      <c r="H306" s="7" t="n">
        <v>83.3</v>
      </c>
      <c r="I306" s="7" t="n">
        <v>0</v>
      </c>
      <c r="J306" s="7" t="n">
        <v>1</v>
      </c>
      <c r="K306" s="7" t="n">
        <v>0</v>
      </c>
      <c r="L306" s="8" t="n">
        <v>724346.73</v>
      </c>
      <c r="M306" s="8" t="n">
        <f aca="false">'6. Multiple Regression'!$B$14+'6. Multiple Regression'!$B$15*E306+'6. Multiple Regression'!$B$16*F306+'6. Multiple Regression'!$B$17*G306+'6. Multiple Regression'!$B$18*H306+'6. Multiple Regression'!$B$19*I306+'6. Multiple Regression'!$B$20*J306+'6. Multiple Regression'!$B$21*K306</f>
        <v>737507.881982302</v>
      </c>
      <c r="N306" s="8" t="n">
        <f aca="false">L306-M306</f>
        <v>-13161.1519823021</v>
      </c>
      <c r="O306" s="8" t="n">
        <f aca="false">ABS(N306)</f>
        <v>13161.1519823021</v>
      </c>
      <c r="P306" s="22" t="n">
        <f aca="false">N306/L306</f>
        <v>-0.0181696850930798</v>
      </c>
    </row>
    <row r="307" customFormat="false" ht="15" hidden="false" customHeight="false" outlineLevel="0" collapsed="false">
      <c r="A307" s="4" t="s">
        <v>103</v>
      </c>
      <c r="B307" s="4" t="s">
        <v>21</v>
      </c>
      <c r="C307" s="4" t="s">
        <v>26</v>
      </c>
      <c r="D307" s="4" t="s">
        <v>34</v>
      </c>
      <c r="E307" s="4" t="n">
        <v>8268</v>
      </c>
      <c r="F307" s="5" t="n">
        <v>52843.75</v>
      </c>
      <c r="G307" s="19" t="n">
        <v>0.138</v>
      </c>
      <c r="H307" s="4" t="n">
        <v>87.3</v>
      </c>
      <c r="I307" s="4" t="n">
        <v>0</v>
      </c>
      <c r="J307" s="4" t="n">
        <v>1</v>
      </c>
      <c r="K307" s="4" t="n">
        <v>0</v>
      </c>
      <c r="L307" s="5" t="n">
        <v>730890.01</v>
      </c>
      <c r="M307" s="5" t="n">
        <f aca="false">'6. Multiple Regression'!$B$14+'6. Multiple Regression'!$B$15*E307+'6. Multiple Regression'!$B$16*F307+'6. Multiple Regression'!$B$17*G307+'6. Multiple Regression'!$B$18*H307+'6. Multiple Regression'!$B$19*I307+'6. Multiple Regression'!$B$20*J307+'6. Multiple Regression'!$B$21*K307</f>
        <v>742146.745590944</v>
      </c>
      <c r="N307" s="5" t="n">
        <f aca="false">L307-M307</f>
        <v>-11256.7355909441</v>
      </c>
      <c r="O307" s="5" t="n">
        <f aca="false">ABS(N307)</f>
        <v>11256.7355909441</v>
      </c>
      <c r="P307" s="20" t="n">
        <f aca="false">N307/L307</f>
        <v>-0.0154014084703991</v>
      </c>
    </row>
    <row r="308" customFormat="false" ht="15" hidden="false" customHeight="false" outlineLevel="0" collapsed="false">
      <c r="A308" s="7" t="s">
        <v>103</v>
      </c>
      <c r="B308" s="7" t="s">
        <v>22</v>
      </c>
      <c r="C308" s="7" t="s">
        <v>26</v>
      </c>
      <c r="D308" s="7" t="s">
        <v>34</v>
      </c>
      <c r="E308" s="7" t="n">
        <v>8183</v>
      </c>
      <c r="F308" s="8" t="n">
        <v>31997.25</v>
      </c>
      <c r="G308" s="21" t="n">
        <v>0.198</v>
      </c>
      <c r="H308" s="7" t="n">
        <v>93</v>
      </c>
      <c r="I308" s="7" t="n">
        <v>0</v>
      </c>
      <c r="J308" s="7" t="n">
        <v>1</v>
      </c>
      <c r="K308" s="7" t="n">
        <v>0</v>
      </c>
      <c r="L308" s="8" t="n">
        <v>780580.95</v>
      </c>
      <c r="M308" s="8" t="n">
        <f aca="false">'6. Multiple Regression'!$B$14+'6. Multiple Regression'!$B$15*E308+'6. Multiple Regression'!$B$16*F308+'6. Multiple Regression'!$B$17*G308+'6. Multiple Regression'!$B$18*H308+'6. Multiple Regression'!$B$19*I308+'6. Multiple Regression'!$B$20*J308+'6. Multiple Regression'!$B$21*K308</f>
        <v>728560.388443724</v>
      </c>
      <c r="N308" s="8" t="n">
        <f aca="false">L308-M308</f>
        <v>52020.5615562759</v>
      </c>
      <c r="O308" s="8" t="n">
        <f aca="false">ABS(N308)</f>
        <v>52020.5615562759</v>
      </c>
      <c r="P308" s="22" t="n">
        <f aca="false">N308/L308</f>
        <v>0.0666433911258992</v>
      </c>
    </row>
    <row r="309" customFormat="false" ht="15" hidden="false" customHeight="false" outlineLevel="0" collapsed="false">
      <c r="A309" s="4" t="s">
        <v>104</v>
      </c>
      <c r="B309" s="4" t="s">
        <v>17</v>
      </c>
      <c r="C309" s="4" t="s">
        <v>30</v>
      </c>
      <c r="D309" s="4" t="s">
        <v>19</v>
      </c>
      <c r="E309" s="4" t="n">
        <v>6534</v>
      </c>
      <c r="F309" s="5" t="n">
        <v>54948.02</v>
      </c>
      <c r="G309" s="19" t="n">
        <v>0.183</v>
      </c>
      <c r="H309" s="4" t="n">
        <v>94.5</v>
      </c>
      <c r="I309" s="4" t="n">
        <v>0</v>
      </c>
      <c r="J309" s="4" t="n">
        <v>0</v>
      </c>
      <c r="K309" s="4" t="n">
        <v>1</v>
      </c>
      <c r="L309" s="5" t="n">
        <v>727957.48</v>
      </c>
      <c r="M309" s="5" t="n">
        <f aca="false">'6. Multiple Regression'!$B$14+'6. Multiple Regression'!$B$15*E309+'6. Multiple Regression'!$B$16*F309+'6. Multiple Regression'!$B$17*G309+'6. Multiple Regression'!$B$18*H309+'6. Multiple Regression'!$B$19*I309+'6. Multiple Regression'!$B$20*J309+'6. Multiple Regression'!$B$21*K309</f>
        <v>677173.040587889</v>
      </c>
      <c r="N309" s="5" t="n">
        <f aca="false">L309-M309</f>
        <v>50784.4394121111</v>
      </c>
      <c r="O309" s="5" t="n">
        <f aca="false">ABS(N309)</f>
        <v>50784.4394121111</v>
      </c>
      <c r="P309" s="20" t="n">
        <f aca="false">N309/L309</f>
        <v>0.0697629199608074</v>
      </c>
    </row>
    <row r="310" customFormat="false" ht="15" hidden="false" customHeight="false" outlineLevel="0" collapsed="false">
      <c r="A310" s="7" t="s">
        <v>104</v>
      </c>
      <c r="B310" s="7" t="s">
        <v>20</v>
      </c>
      <c r="C310" s="7" t="s">
        <v>30</v>
      </c>
      <c r="D310" s="7" t="s">
        <v>19</v>
      </c>
      <c r="E310" s="7" t="n">
        <v>5804</v>
      </c>
      <c r="F310" s="8" t="n">
        <v>46146.24</v>
      </c>
      <c r="G310" s="21" t="n">
        <v>0.047</v>
      </c>
      <c r="H310" s="7" t="n">
        <v>86.9</v>
      </c>
      <c r="I310" s="7" t="n">
        <v>0</v>
      </c>
      <c r="J310" s="7" t="n">
        <v>0</v>
      </c>
      <c r="K310" s="7" t="n">
        <v>1</v>
      </c>
      <c r="L310" s="8" t="n">
        <v>538376</v>
      </c>
      <c r="M310" s="8" t="n">
        <f aca="false">'6. Multiple Regression'!$B$14+'6. Multiple Regression'!$B$15*E310+'6. Multiple Regression'!$B$16*F310+'6. Multiple Regression'!$B$17*G310+'6. Multiple Regression'!$B$18*H310+'6. Multiple Regression'!$B$19*I310+'6. Multiple Regression'!$B$20*J310+'6. Multiple Regression'!$B$21*K310</f>
        <v>627543.754345781</v>
      </c>
      <c r="N310" s="8" t="n">
        <f aca="false">L310-M310</f>
        <v>-89167.7543457809</v>
      </c>
      <c r="O310" s="8" t="n">
        <f aca="false">ABS(N310)</f>
        <v>89167.7543457809</v>
      </c>
      <c r="P310" s="22" t="n">
        <f aca="false">N310/L310</f>
        <v>-0.165623568557627</v>
      </c>
    </row>
    <row r="311" customFormat="false" ht="15" hidden="false" customHeight="false" outlineLevel="0" collapsed="false">
      <c r="A311" s="4" t="s">
        <v>104</v>
      </c>
      <c r="B311" s="4" t="s">
        <v>21</v>
      </c>
      <c r="C311" s="4" t="s">
        <v>30</v>
      </c>
      <c r="D311" s="4" t="s">
        <v>19</v>
      </c>
      <c r="E311" s="4" t="n">
        <v>6301</v>
      </c>
      <c r="F311" s="5" t="n">
        <v>22387.26</v>
      </c>
      <c r="G311" s="19" t="n">
        <v>0.146</v>
      </c>
      <c r="H311" s="4" t="n">
        <v>85.9</v>
      </c>
      <c r="I311" s="4" t="n">
        <v>0</v>
      </c>
      <c r="J311" s="4" t="n">
        <v>0</v>
      </c>
      <c r="K311" s="4" t="n">
        <v>1</v>
      </c>
      <c r="L311" s="5" t="n">
        <v>665342.49</v>
      </c>
      <c r="M311" s="5" t="n">
        <f aca="false">'6. Multiple Regression'!$B$14+'6. Multiple Regression'!$B$15*E311+'6. Multiple Regression'!$B$16*F311+'6. Multiple Regression'!$B$17*G311+'6. Multiple Regression'!$B$18*H311+'6. Multiple Regression'!$B$19*I311+'6. Multiple Regression'!$B$20*J311+'6. Multiple Regression'!$B$21*K311</f>
        <v>607749.683161878</v>
      </c>
      <c r="N311" s="5" t="n">
        <f aca="false">L311-M311</f>
        <v>57592.806838122</v>
      </c>
      <c r="O311" s="5" t="n">
        <f aca="false">ABS(N311)</f>
        <v>57592.806838122</v>
      </c>
      <c r="P311" s="20" t="n">
        <f aca="false">N311/L311</f>
        <v>0.0865611436271295</v>
      </c>
    </row>
    <row r="312" customFormat="false" ht="15" hidden="false" customHeight="false" outlineLevel="0" collapsed="false">
      <c r="A312" s="7" t="s">
        <v>104</v>
      </c>
      <c r="B312" s="7" t="s">
        <v>22</v>
      </c>
      <c r="C312" s="7" t="s">
        <v>30</v>
      </c>
      <c r="D312" s="7" t="s">
        <v>19</v>
      </c>
      <c r="E312" s="7" t="n">
        <v>6399</v>
      </c>
      <c r="F312" s="8" t="n">
        <v>60684.05</v>
      </c>
      <c r="G312" s="21" t="n">
        <v>0.075</v>
      </c>
      <c r="H312" s="7" t="n">
        <v>99</v>
      </c>
      <c r="I312" s="7" t="n">
        <v>0</v>
      </c>
      <c r="J312" s="7" t="n">
        <v>0</v>
      </c>
      <c r="K312" s="7" t="n">
        <v>1</v>
      </c>
      <c r="L312" s="8" t="n">
        <v>651164.18</v>
      </c>
      <c r="M312" s="8" t="n">
        <f aca="false">'6. Multiple Regression'!$B$14+'6. Multiple Regression'!$B$15*E312+'6. Multiple Regression'!$B$16*F312+'6. Multiple Regression'!$B$17*G312+'6. Multiple Regression'!$B$18*H312+'6. Multiple Regression'!$B$19*I312+'6. Multiple Regression'!$B$20*J312+'6. Multiple Regression'!$B$21*K312</f>
        <v>699182.476547375</v>
      </c>
      <c r="N312" s="8" t="n">
        <f aca="false">L312-M312</f>
        <v>-48018.2965473749</v>
      </c>
      <c r="O312" s="8" t="n">
        <f aca="false">ABS(N312)</f>
        <v>48018.2965473749</v>
      </c>
      <c r="P312" s="22" t="n">
        <f aca="false">N312/L312</f>
        <v>-0.0737422266491608</v>
      </c>
    </row>
    <row r="313" customFormat="false" ht="15" hidden="false" customHeight="false" outlineLevel="0" collapsed="false">
      <c r="A313" s="4" t="s">
        <v>105</v>
      </c>
      <c r="B313" s="4" t="s">
        <v>17</v>
      </c>
      <c r="C313" s="4" t="s">
        <v>30</v>
      </c>
      <c r="D313" s="4" t="s">
        <v>24</v>
      </c>
      <c r="E313" s="4" t="n">
        <v>5759</v>
      </c>
      <c r="F313" s="5" t="n">
        <v>48465.6</v>
      </c>
      <c r="G313" s="19" t="n">
        <v>0.154</v>
      </c>
      <c r="H313" s="4" t="n">
        <v>87.5</v>
      </c>
      <c r="I313" s="4" t="n">
        <v>0</v>
      </c>
      <c r="J313" s="4" t="n">
        <v>0</v>
      </c>
      <c r="K313" s="4" t="n">
        <v>0</v>
      </c>
      <c r="L313" s="5" t="n">
        <v>628538.3</v>
      </c>
      <c r="M313" s="5" t="n">
        <f aca="false">'6. Multiple Regression'!$B$14+'6. Multiple Regression'!$B$15*E313+'6. Multiple Regression'!$B$16*F313+'6. Multiple Regression'!$B$17*G313+'6. Multiple Regression'!$B$18*H313+'6. Multiple Regression'!$B$19*I313+'6. Multiple Regression'!$B$20*J313+'6. Multiple Regression'!$B$21*K313</f>
        <v>640804.092762002</v>
      </c>
      <c r="N313" s="5" t="n">
        <f aca="false">L313-M313</f>
        <v>-12265.792762002</v>
      </c>
      <c r="O313" s="5" t="n">
        <f aca="false">ABS(N313)</f>
        <v>12265.792762002</v>
      </c>
      <c r="P313" s="20" t="n">
        <f aca="false">N313/L313</f>
        <v>-0.0195147897303983</v>
      </c>
    </row>
    <row r="314" customFormat="false" ht="15" hidden="false" customHeight="false" outlineLevel="0" collapsed="false">
      <c r="A314" s="7" t="s">
        <v>105</v>
      </c>
      <c r="B314" s="7" t="s">
        <v>20</v>
      </c>
      <c r="C314" s="7" t="s">
        <v>30</v>
      </c>
      <c r="D314" s="7" t="s">
        <v>24</v>
      </c>
      <c r="E314" s="7" t="n">
        <v>5285</v>
      </c>
      <c r="F314" s="8" t="n">
        <v>23702.38</v>
      </c>
      <c r="G314" s="21" t="n">
        <v>0.167</v>
      </c>
      <c r="H314" s="7" t="n">
        <v>79.7</v>
      </c>
      <c r="I314" s="7" t="n">
        <v>0</v>
      </c>
      <c r="J314" s="7" t="n">
        <v>0</v>
      </c>
      <c r="K314" s="7" t="n">
        <v>0</v>
      </c>
      <c r="L314" s="8" t="n">
        <v>536524.84</v>
      </c>
      <c r="M314" s="8" t="n">
        <f aca="false">'6. Multiple Regression'!$B$14+'6. Multiple Regression'!$B$15*E314+'6. Multiple Regression'!$B$16*F314+'6. Multiple Regression'!$B$17*G314+'6. Multiple Regression'!$B$18*H314+'6. Multiple Regression'!$B$19*I314+'6. Multiple Regression'!$B$20*J314+'6. Multiple Regression'!$B$21*K314</f>
        <v>571810.508235361</v>
      </c>
      <c r="N314" s="8" t="n">
        <f aca="false">L314-M314</f>
        <v>-35285.668235361</v>
      </c>
      <c r="O314" s="8" t="n">
        <f aca="false">ABS(N314)</f>
        <v>35285.668235361</v>
      </c>
      <c r="P314" s="22" t="n">
        <f aca="false">N314/L314</f>
        <v>-0.0657670728448677</v>
      </c>
    </row>
    <row r="315" customFormat="false" ht="15" hidden="false" customHeight="false" outlineLevel="0" collapsed="false">
      <c r="A315" s="4" t="s">
        <v>105</v>
      </c>
      <c r="B315" s="4" t="s">
        <v>21</v>
      </c>
      <c r="C315" s="4" t="s">
        <v>30</v>
      </c>
      <c r="D315" s="4" t="s">
        <v>24</v>
      </c>
      <c r="E315" s="4" t="n">
        <v>5434</v>
      </c>
      <c r="F315" s="5" t="n">
        <v>54322.94</v>
      </c>
      <c r="G315" s="19" t="n">
        <v>0.2</v>
      </c>
      <c r="H315" s="4" t="n">
        <v>85.7</v>
      </c>
      <c r="I315" s="4" t="n">
        <v>0</v>
      </c>
      <c r="J315" s="4" t="n">
        <v>0</v>
      </c>
      <c r="K315" s="4" t="n">
        <v>0</v>
      </c>
      <c r="L315" s="5" t="n">
        <v>621677.3</v>
      </c>
      <c r="M315" s="5" t="n">
        <f aca="false">'6. Multiple Regression'!$B$14+'6. Multiple Regression'!$B$15*E315+'6. Multiple Regression'!$B$16*F315+'6. Multiple Regression'!$B$17*G315+'6. Multiple Regression'!$B$18*H315+'6. Multiple Regression'!$B$19*I315+'6. Multiple Regression'!$B$20*J315+'6. Multiple Regression'!$B$21*K315</f>
        <v>628577.34051752</v>
      </c>
      <c r="N315" s="5" t="n">
        <f aca="false">L315-M315</f>
        <v>-6900.04051751993</v>
      </c>
      <c r="O315" s="5" t="n">
        <f aca="false">ABS(N315)</f>
        <v>6900.04051751993</v>
      </c>
      <c r="P315" s="20" t="n">
        <f aca="false">N315/L315</f>
        <v>-0.0110990710413906</v>
      </c>
    </row>
    <row r="316" customFormat="false" ht="15" hidden="false" customHeight="false" outlineLevel="0" collapsed="false">
      <c r="A316" s="7" t="s">
        <v>105</v>
      </c>
      <c r="B316" s="7" t="s">
        <v>22</v>
      </c>
      <c r="C316" s="7" t="s">
        <v>30</v>
      </c>
      <c r="D316" s="7" t="s">
        <v>24</v>
      </c>
      <c r="E316" s="7" t="n">
        <v>7479</v>
      </c>
      <c r="F316" s="8" t="n">
        <v>86026.58</v>
      </c>
      <c r="G316" s="21" t="n">
        <v>0.142</v>
      </c>
      <c r="H316" s="7" t="n">
        <v>89</v>
      </c>
      <c r="I316" s="7" t="n">
        <v>0</v>
      </c>
      <c r="J316" s="7" t="n">
        <v>0</v>
      </c>
      <c r="K316" s="7" t="n">
        <v>0</v>
      </c>
      <c r="L316" s="8" t="n">
        <v>771129.07</v>
      </c>
      <c r="M316" s="8" t="n">
        <f aca="false">'6. Multiple Regression'!$B$14+'6. Multiple Regression'!$B$15*E316+'6. Multiple Regression'!$B$16*F316+'6. Multiple Regression'!$B$17*G316+'6. Multiple Regression'!$B$18*H316+'6. Multiple Regression'!$B$19*I316+'6. Multiple Regression'!$B$20*J316+'6. Multiple Regression'!$B$21*K316</f>
        <v>747692.771865886</v>
      </c>
      <c r="N316" s="8" t="n">
        <f aca="false">L316-M316</f>
        <v>23436.298134114</v>
      </c>
      <c r="O316" s="8" t="n">
        <f aca="false">ABS(N316)</f>
        <v>23436.298134114</v>
      </c>
      <c r="P316" s="22" t="n">
        <f aca="false">N316/L316</f>
        <v>0.0303921860112394</v>
      </c>
    </row>
    <row r="317" customFormat="false" ht="15" hidden="false" customHeight="false" outlineLevel="0" collapsed="false">
      <c r="A317" s="4" t="s">
        <v>106</v>
      </c>
      <c r="B317" s="4" t="s">
        <v>17</v>
      </c>
      <c r="C317" s="4" t="s">
        <v>26</v>
      </c>
      <c r="D317" s="4" t="s">
        <v>19</v>
      </c>
      <c r="E317" s="4" t="n">
        <v>6164</v>
      </c>
      <c r="F317" s="5" t="n">
        <v>78967.52</v>
      </c>
      <c r="G317" s="19" t="n">
        <v>0.021</v>
      </c>
      <c r="H317" s="4" t="n">
        <v>85.5</v>
      </c>
      <c r="I317" s="4" t="n">
        <v>0</v>
      </c>
      <c r="J317" s="4" t="n">
        <v>0</v>
      </c>
      <c r="K317" s="4" t="n">
        <v>1</v>
      </c>
      <c r="L317" s="5" t="n">
        <v>702052.47</v>
      </c>
      <c r="M317" s="5" t="n">
        <f aca="false">'6. Multiple Regression'!$B$14+'6. Multiple Regression'!$B$15*E317+'6. Multiple Regression'!$B$16*F317+'6. Multiple Regression'!$B$17*G317+'6. Multiple Regression'!$B$18*H317+'6. Multiple Regression'!$B$19*I317+'6. Multiple Regression'!$B$20*J317+'6. Multiple Regression'!$B$21*K317</f>
        <v>675246.179230183</v>
      </c>
      <c r="N317" s="5" t="n">
        <f aca="false">L317-M317</f>
        <v>26806.290769817</v>
      </c>
      <c r="O317" s="5" t="n">
        <f aca="false">ABS(N317)</f>
        <v>26806.290769817</v>
      </c>
      <c r="P317" s="20" t="n">
        <f aca="false">N317/L317</f>
        <v>0.0381827454717408</v>
      </c>
    </row>
    <row r="318" customFormat="false" ht="15" hidden="false" customHeight="false" outlineLevel="0" collapsed="false">
      <c r="A318" s="7" t="s">
        <v>106</v>
      </c>
      <c r="B318" s="7" t="s">
        <v>20</v>
      </c>
      <c r="C318" s="7" t="s">
        <v>26</v>
      </c>
      <c r="D318" s="7" t="s">
        <v>19</v>
      </c>
      <c r="E318" s="7" t="n">
        <v>7973</v>
      </c>
      <c r="F318" s="8" t="n">
        <v>46767.99</v>
      </c>
      <c r="G318" s="21" t="n">
        <v>0.183</v>
      </c>
      <c r="H318" s="7" t="n">
        <v>94.8</v>
      </c>
      <c r="I318" s="7" t="n">
        <v>0</v>
      </c>
      <c r="J318" s="7" t="n">
        <v>0</v>
      </c>
      <c r="K318" s="7" t="n">
        <v>1</v>
      </c>
      <c r="L318" s="8" t="n">
        <v>688368.46</v>
      </c>
      <c r="M318" s="8" t="n">
        <f aca="false">'6. Multiple Regression'!$B$14+'6. Multiple Regression'!$B$15*E318+'6. Multiple Regression'!$B$16*F318+'6. Multiple Regression'!$B$17*G318+'6. Multiple Regression'!$B$18*H318+'6. Multiple Regression'!$B$19*I318+'6. Multiple Regression'!$B$20*J318+'6. Multiple Regression'!$B$21*K318</f>
        <v>716982.710389599</v>
      </c>
      <c r="N318" s="8" t="n">
        <f aca="false">L318-M318</f>
        <v>-28614.250389599</v>
      </c>
      <c r="O318" s="8" t="n">
        <f aca="false">ABS(N318)</f>
        <v>28614.250389599</v>
      </c>
      <c r="P318" s="22" t="n">
        <f aca="false">N318/L318</f>
        <v>-0.0415682182614802</v>
      </c>
    </row>
    <row r="319" customFormat="false" ht="15" hidden="false" customHeight="false" outlineLevel="0" collapsed="false">
      <c r="A319" s="4" t="s">
        <v>106</v>
      </c>
      <c r="B319" s="4" t="s">
        <v>21</v>
      </c>
      <c r="C319" s="4" t="s">
        <v>26</v>
      </c>
      <c r="D319" s="4" t="s">
        <v>19</v>
      </c>
      <c r="E319" s="4" t="n">
        <v>6000</v>
      </c>
      <c r="F319" s="5" t="n">
        <v>62507.16</v>
      </c>
      <c r="G319" s="19" t="n">
        <v>0.091</v>
      </c>
      <c r="H319" s="4" t="n">
        <v>98.2</v>
      </c>
      <c r="I319" s="4" t="n">
        <v>0</v>
      </c>
      <c r="J319" s="4" t="n">
        <v>0</v>
      </c>
      <c r="K319" s="4" t="n">
        <v>1</v>
      </c>
      <c r="L319" s="5" t="n">
        <v>712375.77</v>
      </c>
      <c r="M319" s="5" t="n">
        <f aca="false">'6. Multiple Regression'!$B$14+'6. Multiple Regression'!$B$15*E319+'6. Multiple Regression'!$B$16*F319+'6. Multiple Regression'!$B$17*G319+'6. Multiple Regression'!$B$18*H319+'6. Multiple Regression'!$B$19*I319+'6. Multiple Regression'!$B$20*J319+'6. Multiple Regression'!$B$21*K319</f>
        <v>684531.511420613</v>
      </c>
      <c r="N319" s="5" t="n">
        <f aca="false">L319-M319</f>
        <v>27844.258579387</v>
      </c>
      <c r="O319" s="5" t="n">
        <f aca="false">ABS(N319)</f>
        <v>27844.258579387</v>
      </c>
      <c r="P319" s="20" t="n">
        <f aca="false">N319/L319</f>
        <v>0.0390864761997548</v>
      </c>
    </row>
    <row r="320" customFormat="false" ht="15" hidden="false" customHeight="false" outlineLevel="0" collapsed="false">
      <c r="A320" s="7" t="s">
        <v>106</v>
      </c>
      <c r="B320" s="7" t="s">
        <v>22</v>
      </c>
      <c r="C320" s="7" t="s">
        <v>26</v>
      </c>
      <c r="D320" s="7" t="s">
        <v>19</v>
      </c>
      <c r="E320" s="7" t="n">
        <v>9967</v>
      </c>
      <c r="F320" s="8" t="n">
        <v>66456.28</v>
      </c>
      <c r="G320" s="21" t="n">
        <v>0.108</v>
      </c>
      <c r="H320" s="7" t="n">
        <v>94.7</v>
      </c>
      <c r="I320" s="7" t="n">
        <v>0</v>
      </c>
      <c r="J320" s="7" t="n">
        <v>0</v>
      </c>
      <c r="K320" s="7" t="n">
        <v>1</v>
      </c>
      <c r="L320" s="8" t="n">
        <v>844710.67</v>
      </c>
      <c r="M320" s="8" t="n">
        <f aca="false">'6. Multiple Regression'!$B$14+'6. Multiple Regression'!$B$15*E320+'6. Multiple Regression'!$B$16*F320+'6. Multiple Regression'!$B$17*G320+'6. Multiple Regression'!$B$18*H320+'6. Multiple Regression'!$B$19*I320+'6. Multiple Regression'!$B$20*J320+'6. Multiple Regression'!$B$21*K320</f>
        <v>811175.039086344</v>
      </c>
      <c r="N320" s="8" t="n">
        <f aca="false">L320-M320</f>
        <v>33535.6309136561</v>
      </c>
      <c r="O320" s="8" t="n">
        <f aca="false">ABS(N320)</f>
        <v>33535.6309136561</v>
      </c>
      <c r="P320" s="22" t="n">
        <f aca="false">N320/L320</f>
        <v>0.0397007308001166</v>
      </c>
    </row>
    <row r="321" customFormat="false" ht="15" hidden="false" customHeight="false" outlineLevel="0" collapsed="false">
      <c r="A321" s="4" t="s">
        <v>107</v>
      </c>
      <c r="B321" s="4" t="s">
        <v>17</v>
      </c>
      <c r="C321" s="4" t="s">
        <v>18</v>
      </c>
      <c r="D321" s="4" t="s">
        <v>19</v>
      </c>
      <c r="E321" s="4" t="n">
        <v>5639</v>
      </c>
      <c r="F321" s="5" t="n">
        <v>76614.32</v>
      </c>
      <c r="G321" s="19" t="n">
        <v>0.174</v>
      </c>
      <c r="H321" s="4" t="n">
        <v>92.9</v>
      </c>
      <c r="I321" s="4" t="n">
        <v>0</v>
      </c>
      <c r="J321" s="4" t="n">
        <v>0</v>
      </c>
      <c r="K321" s="4" t="n">
        <v>1</v>
      </c>
      <c r="L321" s="5" t="n">
        <v>620264.2</v>
      </c>
      <c r="M321" s="5" t="n">
        <f aca="false">'6. Multiple Regression'!$B$14+'6. Multiple Regression'!$B$15*E321+'6. Multiple Regression'!$B$16*F321+'6. Multiple Regression'!$B$17*G321+'6. Multiple Regression'!$B$18*H321+'6. Multiple Regression'!$B$19*I321+'6. Multiple Regression'!$B$20*J321+'6. Multiple Regression'!$B$21*K321</f>
        <v>668023.693233222</v>
      </c>
      <c r="N321" s="5" t="n">
        <f aca="false">L321-M321</f>
        <v>-47759.4932332221</v>
      </c>
      <c r="O321" s="5" t="n">
        <f aca="false">ABS(N321)</f>
        <v>47759.4932332221</v>
      </c>
      <c r="P321" s="20" t="n">
        <f aca="false">N321/L321</f>
        <v>-0.0769986293473363</v>
      </c>
    </row>
    <row r="322" customFormat="false" ht="15" hidden="false" customHeight="false" outlineLevel="0" collapsed="false">
      <c r="A322" s="7" t="s">
        <v>107</v>
      </c>
      <c r="B322" s="7" t="s">
        <v>20</v>
      </c>
      <c r="C322" s="7" t="s">
        <v>18</v>
      </c>
      <c r="D322" s="7" t="s">
        <v>19</v>
      </c>
      <c r="E322" s="7" t="n">
        <v>3466</v>
      </c>
      <c r="F322" s="8" t="n">
        <v>24088.06</v>
      </c>
      <c r="G322" s="21" t="n">
        <v>0</v>
      </c>
      <c r="H322" s="7" t="n">
        <v>88</v>
      </c>
      <c r="I322" s="7" t="n">
        <v>0</v>
      </c>
      <c r="J322" s="7" t="n">
        <v>0</v>
      </c>
      <c r="K322" s="7" t="n">
        <v>1</v>
      </c>
      <c r="L322" s="8" t="n">
        <v>536845.42</v>
      </c>
      <c r="M322" s="8" t="n">
        <f aca="false">'6. Multiple Regression'!$B$14+'6. Multiple Regression'!$B$15*E322+'6. Multiple Regression'!$B$16*F322+'6. Multiple Regression'!$B$17*G322+'6. Multiple Regression'!$B$18*H322+'6. Multiple Regression'!$B$19*I322+'6. Multiple Regression'!$B$20*J322+'6. Multiple Regression'!$B$21*K322</f>
        <v>529198.31427458</v>
      </c>
      <c r="N322" s="8" t="n">
        <f aca="false">L322-M322</f>
        <v>7647.10572542006</v>
      </c>
      <c r="O322" s="8" t="n">
        <f aca="false">ABS(N322)</f>
        <v>7647.10572542006</v>
      </c>
      <c r="P322" s="22" t="n">
        <f aca="false">N322/L322</f>
        <v>0.0142445207512808</v>
      </c>
    </row>
    <row r="323" customFormat="false" ht="15" hidden="false" customHeight="false" outlineLevel="0" collapsed="false">
      <c r="A323" s="4" t="s">
        <v>107</v>
      </c>
      <c r="B323" s="4" t="s">
        <v>21</v>
      </c>
      <c r="C323" s="4" t="s">
        <v>18</v>
      </c>
      <c r="D323" s="4" t="s">
        <v>19</v>
      </c>
      <c r="E323" s="4" t="n">
        <v>7775</v>
      </c>
      <c r="F323" s="5" t="n">
        <v>81902.58</v>
      </c>
      <c r="G323" s="19" t="n">
        <v>0.215</v>
      </c>
      <c r="H323" s="4" t="n">
        <v>85.2</v>
      </c>
      <c r="I323" s="4" t="n">
        <v>0</v>
      </c>
      <c r="J323" s="4" t="n">
        <v>0</v>
      </c>
      <c r="K323" s="4" t="n">
        <v>1</v>
      </c>
      <c r="L323" s="5" t="n">
        <v>726776.22</v>
      </c>
      <c r="M323" s="5" t="n">
        <f aca="false">'6. Multiple Regression'!$B$14+'6. Multiple Regression'!$B$15*E323+'6. Multiple Regression'!$B$16*F323+'6. Multiple Regression'!$B$17*G323+'6. Multiple Regression'!$B$18*H323+'6. Multiple Regression'!$B$19*I323+'6. Multiple Regression'!$B$20*J323+'6. Multiple Regression'!$B$21*K323</f>
        <v>720569.332312485</v>
      </c>
      <c r="N323" s="5" t="n">
        <f aca="false">L323-M323</f>
        <v>6206.887687515</v>
      </c>
      <c r="O323" s="5" t="n">
        <f aca="false">ABS(N323)</f>
        <v>6206.887687515</v>
      </c>
      <c r="P323" s="20" t="n">
        <f aca="false">N323/L323</f>
        <v>0.0085403010124836</v>
      </c>
    </row>
    <row r="324" customFormat="false" ht="15" hidden="false" customHeight="false" outlineLevel="0" collapsed="false">
      <c r="A324" s="7" t="s">
        <v>107</v>
      </c>
      <c r="B324" s="7" t="s">
        <v>22</v>
      </c>
      <c r="C324" s="7" t="s">
        <v>18</v>
      </c>
      <c r="D324" s="7" t="s">
        <v>19</v>
      </c>
      <c r="E324" s="7" t="n">
        <v>5317</v>
      </c>
      <c r="F324" s="8" t="n">
        <v>40553.11</v>
      </c>
      <c r="G324" s="21" t="n">
        <v>0.165</v>
      </c>
      <c r="H324" s="7" t="n">
        <v>84.3</v>
      </c>
      <c r="I324" s="7" t="n">
        <v>0</v>
      </c>
      <c r="J324" s="7" t="n">
        <v>0</v>
      </c>
      <c r="K324" s="7" t="n">
        <v>1</v>
      </c>
      <c r="L324" s="8" t="n">
        <v>559660.84</v>
      </c>
      <c r="M324" s="8" t="n">
        <f aca="false">'6. Multiple Regression'!$B$14+'6. Multiple Regression'!$B$15*E324+'6. Multiple Regression'!$B$16*F324+'6. Multiple Regression'!$B$17*G324+'6. Multiple Regression'!$B$18*H324+'6. Multiple Regression'!$B$19*I324+'6. Multiple Regression'!$B$20*J324+'6. Multiple Regression'!$B$21*K324</f>
        <v>589874.671196125</v>
      </c>
      <c r="N324" s="8" t="n">
        <f aca="false">L324-M324</f>
        <v>-30213.831196125</v>
      </c>
      <c r="O324" s="8" t="n">
        <f aca="false">ABS(N324)</f>
        <v>30213.831196125</v>
      </c>
      <c r="P324" s="22" t="n">
        <f aca="false">N324/L324</f>
        <v>-0.0539859662079002</v>
      </c>
    </row>
    <row r="326" customFormat="false" ht="15" hidden="false" customHeight="false" outlineLevel="0" collapsed="false">
      <c r="A326" s="10" t="s">
        <v>204</v>
      </c>
    </row>
    <row r="327" customFormat="false" ht="15" hidden="false" customHeight="false" outlineLevel="0" collapsed="false">
      <c r="A327" s="23" t="s">
        <v>205</v>
      </c>
      <c r="B327" s="24" t="n">
        <f aca="false">AVERAGE(O5:O324)</f>
        <v>34008.5080510615</v>
      </c>
    </row>
    <row r="328" customFormat="false" ht="15" hidden="false" customHeight="false" outlineLevel="0" collapsed="false">
      <c r="A328" s="23" t="s">
        <v>206</v>
      </c>
      <c r="B328" s="24" t="n">
        <f aca="false">AVERAGE(L5:L324)</f>
        <v>680628.717875</v>
      </c>
    </row>
    <row r="329" customFormat="false" ht="15" hidden="false" customHeight="false" outlineLevel="0" collapsed="false">
      <c r="A329" s="23" t="s">
        <v>207</v>
      </c>
      <c r="B329" s="25" t="n">
        <f aca="false">SUMPRODUCT(ABS(N5:N324),1/L5:L324)/COUNT(L5:L324)</f>
        <v>0.0511923988722484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209</v>
      </c>
      <c r="B3" s="3" t="s">
        <v>210</v>
      </c>
      <c r="C3" s="3" t="s">
        <v>211</v>
      </c>
      <c r="D3" s="3" t="s">
        <v>154</v>
      </c>
      <c r="E3" s="3" t="s">
        <v>155</v>
      </c>
      <c r="F3" s="3" t="s">
        <v>212</v>
      </c>
      <c r="G3" s="3" t="s">
        <v>213</v>
      </c>
    </row>
    <row r="4" customFormat="false" ht="15" hidden="false" customHeight="false" outlineLevel="0" collapsed="false">
      <c r="A4" s="7" t="s">
        <v>214</v>
      </c>
      <c r="B4" s="7" t="s">
        <v>14</v>
      </c>
      <c r="C4" s="7" t="s">
        <v>7</v>
      </c>
      <c r="D4" s="21" t="n">
        <v>0.7363</v>
      </c>
      <c r="E4" s="21" t="n">
        <v>0.7355</v>
      </c>
      <c r="F4" s="7" t="s">
        <v>7</v>
      </c>
      <c r="G4" s="7" t="s">
        <v>215</v>
      </c>
    </row>
    <row r="5" customFormat="false" ht="15" hidden="false" customHeight="false" outlineLevel="0" collapsed="false">
      <c r="A5" s="4" t="s">
        <v>216</v>
      </c>
      <c r="B5" s="4" t="s">
        <v>14</v>
      </c>
      <c r="C5" s="4" t="s">
        <v>6</v>
      </c>
      <c r="D5" s="19" t="n">
        <v>0.1672</v>
      </c>
      <c r="E5" s="19" t="n">
        <v>0.1646</v>
      </c>
      <c r="F5" s="4" t="s">
        <v>6</v>
      </c>
      <c r="G5" s="4" t="s">
        <v>217</v>
      </c>
    </row>
    <row r="6" customFormat="false" ht="15" hidden="false" customHeight="false" outlineLevel="0" collapsed="false">
      <c r="A6" s="26" t="s">
        <v>218</v>
      </c>
      <c r="B6" s="26" t="s">
        <v>14</v>
      </c>
      <c r="C6" s="26" t="s">
        <v>219</v>
      </c>
      <c r="D6" s="27" t="n">
        <v>0.8214</v>
      </c>
      <c r="E6" s="27" t="n">
        <v>0.8174</v>
      </c>
      <c r="F6" s="26" t="s">
        <v>220</v>
      </c>
      <c r="G6" s="26" t="s">
        <v>221</v>
      </c>
    </row>
    <row r="8" customFormat="false" ht="15" hidden="false" customHeight="true" outlineLevel="0" collapsed="false">
      <c r="A8" s="28" t="s">
        <v>222</v>
      </c>
      <c r="B8" s="28"/>
      <c r="C8" s="28"/>
      <c r="D8" s="28"/>
      <c r="E8" s="28"/>
      <c r="F8" s="28"/>
      <c r="G8" s="28"/>
      <c r="H8" s="28"/>
    </row>
  </sheetData>
  <mergeCells count="2">
    <mergeCell ref="A1:H1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2026-06-28T07:03:15Z</dcterms:created>
  <dc:creator>openpyxl</dc:creator>
  <dc:description/>
  <dc:language>en-US</dc:language>
  <cp:lastModifiedBy/>
  <dcterms:modified xsi:type="dcterms:W3CDTF">2026-06-28T07:03:15Z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